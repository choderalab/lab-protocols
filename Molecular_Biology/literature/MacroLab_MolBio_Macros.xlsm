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515" codeName="{00000000-0000-0000-0000-000000000000}"/>
  <workbookPr showInkAnnotation="0" codeName="ThisWorkbook" autoCompressPictures="0"/>
  <bookViews>
    <workbookView xWindow="0" yWindow="0" windowWidth="31940" windowHeight="16580" tabRatio="500"/>
  </bookViews>
  <sheets>
    <sheet name="Sheet1" sheetId="1" r:id="rId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6" i="1" l="1"/>
  <c r="H6" i="1"/>
  <c r="F6" i="1"/>
  <c r="I6" i="1"/>
  <c r="K101" i="1"/>
  <c r="J101" i="1"/>
  <c r="E101" i="1"/>
  <c r="H101" i="1"/>
  <c r="G101" i="1"/>
  <c r="F101" i="1"/>
  <c r="K100" i="1"/>
  <c r="J100" i="1"/>
  <c r="E100" i="1"/>
  <c r="H100" i="1"/>
  <c r="G100" i="1"/>
  <c r="F100" i="1"/>
  <c r="K99" i="1"/>
  <c r="J99" i="1"/>
  <c r="E99" i="1"/>
  <c r="H99" i="1"/>
  <c r="G99" i="1"/>
  <c r="F99" i="1"/>
  <c r="K98" i="1"/>
  <c r="J98" i="1"/>
  <c r="E98" i="1"/>
  <c r="H98" i="1"/>
  <c r="G98" i="1"/>
  <c r="F98" i="1"/>
  <c r="K97" i="1"/>
  <c r="J97" i="1"/>
  <c r="E97" i="1"/>
  <c r="H97" i="1"/>
  <c r="G97" i="1"/>
  <c r="F97" i="1"/>
  <c r="K96" i="1"/>
  <c r="J96" i="1"/>
  <c r="E96" i="1"/>
  <c r="H96" i="1"/>
  <c r="G96" i="1"/>
  <c r="F96" i="1"/>
  <c r="K95" i="1"/>
  <c r="J95" i="1"/>
  <c r="E95" i="1"/>
  <c r="H95" i="1"/>
  <c r="G95" i="1"/>
  <c r="F95" i="1"/>
  <c r="K94" i="1"/>
  <c r="J94" i="1"/>
  <c r="E94" i="1"/>
  <c r="H94" i="1"/>
  <c r="G94" i="1"/>
  <c r="F94" i="1"/>
  <c r="K93" i="1"/>
  <c r="J93" i="1"/>
  <c r="E93" i="1"/>
  <c r="H93" i="1"/>
  <c r="G93" i="1"/>
  <c r="F93" i="1"/>
  <c r="K92" i="1"/>
  <c r="J92" i="1"/>
  <c r="E92" i="1"/>
  <c r="H92" i="1"/>
  <c r="G92" i="1"/>
  <c r="F92" i="1"/>
  <c r="K91" i="1"/>
  <c r="J91" i="1"/>
  <c r="E91" i="1"/>
  <c r="H91" i="1"/>
  <c r="G91" i="1"/>
  <c r="F91" i="1"/>
  <c r="K90" i="1"/>
  <c r="J90" i="1"/>
  <c r="E90" i="1"/>
  <c r="H90" i="1"/>
  <c r="G90" i="1"/>
  <c r="F90" i="1"/>
  <c r="K89" i="1"/>
  <c r="J89" i="1"/>
  <c r="E89" i="1"/>
  <c r="H89" i="1"/>
  <c r="G89" i="1"/>
  <c r="F89" i="1"/>
  <c r="K88" i="1"/>
  <c r="J88" i="1"/>
  <c r="E88" i="1"/>
  <c r="H88" i="1"/>
  <c r="G88" i="1"/>
  <c r="F88" i="1"/>
  <c r="K87" i="1"/>
  <c r="J87" i="1"/>
  <c r="E87" i="1"/>
  <c r="H87" i="1"/>
  <c r="G87" i="1"/>
  <c r="F87" i="1"/>
  <c r="K86" i="1"/>
  <c r="J86" i="1"/>
  <c r="E86" i="1"/>
  <c r="H86" i="1"/>
  <c r="G86" i="1"/>
  <c r="F86" i="1"/>
  <c r="K85" i="1"/>
  <c r="J85" i="1"/>
  <c r="E85" i="1"/>
  <c r="H85" i="1"/>
  <c r="G85" i="1"/>
  <c r="F85" i="1"/>
  <c r="K84" i="1"/>
  <c r="J84" i="1"/>
  <c r="E84" i="1"/>
  <c r="H84" i="1"/>
  <c r="G84" i="1"/>
  <c r="F84" i="1"/>
  <c r="K83" i="1"/>
  <c r="J83" i="1"/>
  <c r="E83" i="1"/>
  <c r="H83" i="1"/>
  <c r="G83" i="1"/>
  <c r="F83" i="1"/>
  <c r="K82" i="1"/>
  <c r="J82" i="1"/>
  <c r="E82" i="1"/>
  <c r="H82" i="1"/>
  <c r="G82" i="1"/>
  <c r="F82" i="1"/>
  <c r="K81" i="1"/>
  <c r="J81" i="1"/>
  <c r="E81" i="1"/>
  <c r="H81" i="1"/>
  <c r="G81" i="1"/>
  <c r="F81" i="1"/>
  <c r="K80" i="1"/>
  <c r="J80" i="1"/>
  <c r="E80" i="1"/>
  <c r="H80" i="1"/>
  <c r="G80" i="1"/>
  <c r="F80" i="1"/>
  <c r="K79" i="1"/>
  <c r="J79" i="1"/>
  <c r="E79" i="1"/>
  <c r="H79" i="1"/>
  <c r="G79" i="1"/>
  <c r="F79" i="1"/>
  <c r="K78" i="1"/>
  <c r="J78" i="1"/>
  <c r="E78" i="1"/>
  <c r="H78" i="1"/>
  <c r="G78" i="1"/>
  <c r="F78" i="1"/>
  <c r="K77" i="1"/>
  <c r="J77" i="1"/>
  <c r="E77" i="1"/>
  <c r="H77" i="1"/>
  <c r="G77" i="1"/>
  <c r="F77" i="1"/>
  <c r="K76" i="1"/>
  <c r="J76" i="1"/>
  <c r="E76" i="1"/>
  <c r="H76" i="1"/>
  <c r="G76" i="1"/>
  <c r="F76" i="1"/>
  <c r="K75" i="1"/>
  <c r="J75" i="1"/>
  <c r="E75" i="1"/>
  <c r="H75" i="1"/>
  <c r="G75" i="1"/>
  <c r="F75" i="1"/>
  <c r="K74" i="1"/>
  <c r="J74" i="1"/>
  <c r="E74" i="1"/>
  <c r="H74" i="1"/>
  <c r="G74" i="1"/>
  <c r="F74" i="1"/>
  <c r="K73" i="1"/>
  <c r="J73" i="1"/>
  <c r="E73" i="1"/>
  <c r="H73" i="1"/>
  <c r="G73" i="1"/>
  <c r="F73" i="1"/>
  <c r="K72" i="1"/>
  <c r="J72" i="1"/>
  <c r="E72" i="1"/>
  <c r="H72" i="1"/>
  <c r="G72" i="1"/>
  <c r="F72" i="1"/>
  <c r="K71" i="1"/>
  <c r="J71" i="1"/>
  <c r="E71" i="1"/>
  <c r="H71" i="1"/>
  <c r="G71" i="1"/>
  <c r="F71" i="1"/>
  <c r="K70" i="1"/>
  <c r="J70" i="1"/>
  <c r="E70" i="1"/>
  <c r="H70" i="1"/>
  <c r="G70" i="1"/>
  <c r="F70" i="1"/>
  <c r="K69" i="1"/>
  <c r="J69" i="1"/>
  <c r="E69" i="1"/>
  <c r="H69" i="1"/>
  <c r="G69" i="1"/>
  <c r="F69" i="1"/>
  <c r="K68" i="1"/>
  <c r="J68" i="1"/>
  <c r="E68" i="1"/>
  <c r="H68" i="1"/>
  <c r="G68" i="1"/>
  <c r="F68" i="1"/>
  <c r="K67" i="1"/>
  <c r="J67" i="1"/>
  <c r="E67" i="1"/>
  <c r="H67" i="1"/>
  <c r="G67" i="1"/>
  <c r="F67" i="1"/>
  <c r="K66" i="1"/>
  <c r="J66" i="1"/>
  <c r="E66" i="1"/>
  <c r="H66" i="1"/>
  <c r="G66" i="1"/>
  <c r="F66" i="1"/>
  <c r="K65" i="1"/>
  <c r="J65" i="1"/>
  <c r="E65" i="1"/>
  <c r="H65" i="1"/>
  <c r="G65" i="1"/>
  <c r="F65" i="1"/>
  <c r="K64" i="1"/>
  <c r="J64" i="1"/>
  <c r="E64" i="1"/>
  <c r="H64" i="1"/>
  <c r="G64" i="1"/>
  <c r="F64" i="1"/>
  <c r="K63" i="1"/>
  <c r="J63" i="1"/>
  <c r="E63" i="1"/>
  <c r="H63" i="1"/>
  <c r="G63" i="1"/>
  <c r="F63" i="1"/>
  <c r="K62" i="1"/>
  <c r="J62" i="1"/>
  <c r="E62" i="1"/>
  <c r="H62" i="1"/>
  <c r="G62" i="1"/>
  <c r="F62" i="1"/>
  <c r="K61" i="1"/>
  <c r="J61" i="1"/>
  <c r="E61" i="1"/>
  <c r="H61" i="1"/>
  <c r="G61" i="1"/>
  <c r="F61" i="1"/>
  <c r="K60" i="1"/>
  <c r="J60" i="1"/>
  <c r="E60" i="1"/>
  <c r="H60" i="1"/>
  <c r="G60" i="1"/>
  <c r="F60" i="1"/>
  <c r="K59" i="1"/>
  <c r="J59" i="1"/>
  <c r="E59" i="1"/>
  <c r="H59" i="1"/>
  <c r="G59" i="1"/>
  <c r="F59" i="1"/>
  <c r="K58" i="1"/>
  <c r="J58" i="1"/>
  <c r="E58" i="1"/>
  <c r="H58" i="1"/>
  <c r="G58" i="1"/>
  <c r="F58" i="1"/>
  <c r="K57" i="1"/>
  <c r="J57" i="1"/>
  <c r="E57" i="1"/>
  <c r="H57" i="1"/>
  <c r="G57" i="1"/>
  <c r="F57" i="1"/>
  <c r="K56" i="1"/>
  <c r="J56" i="1"/>
  <c r="E56" i="1"/>
  <c r="H56" i="1"/>
  <c r="G56" i="1"/>
  <c r="F56" i="1"/>
  <c r="K55" i="1"/>
  <c r="J55" i="1"/>
  <c r="E55" i="1"/>
  <c r="H55" i="1"/>
  <c r="G55" i="1"/>
  <c r="F55" i="1"/>
  <c r="K54" i="1"/>
  <c r="J54" i="1"/>
  <c r="E54" i="1"/>
  <c r="H54" i="1"/>
  <c r="G54" i="1"/>
  <c r="F54" i="1"/>
  <c r="K53" i="1"/>
  <c r="J53" i="1"/>
  <c r="E53" i="1"/>
  <c r="H53" i="1"/>
  <c r="G53" i="1"/>
  <c r="F53" i="1"/>
  <c r="K52" i="1"/>
  <c r="J52" i="1"/>
  <c r="E52" i="1"/>
  <c r="H52" i="1"/>
  <c r="G52" i="1"/>
  <c r="F52" i="1"/>
  <c r="K51" i="1"/>
  <c r="J51" i="1"/>
  <c r="E51" i="1"/>
  <c r="H51" i="1"/>
  <c r="G51" i="1"/>
  <c r="F51" i="1"/>
  <c r="K50" i="1"/>
  <c r="J50" i="1"/>
  <c r="E50" i="1"/>
  <c r="H50" i="1"/>
  <c r="G50" i="1"/>
  <c r="F50" i="1"/>
  <c r="K49" i="1"/>
  <c r="J49" i="1"/>
  <c r="E49" i="1"/>
  <c r="H49" i="1"/>
  <c r="G49" i="1"/>
  <c r="F49" i="1"/>
  <c r="K48" i="1"/>
  <c r="J48" i="1"/>
  <c r="E48" i="1"/>
  <c r="H48" i="1"/>
  <c r="G48" i="1"/>
  <c r="F48" i="1"/>
  <c r="K47" i="1"/>
  <c r="J47" i="1"/>
  <c r="E47" i="1"/>
  <c r="H47" i="1"/>
  <c r="G47" i="1"/>
  <c r="F47" i="1"/>
  <c r="K46" i="1"/>
  <c r="J46" i="1"/>
  <c r="E46" i="1"/>
  <c r="H46" i="1"/>
  <c r="G46" i="1"/>
  <c r="F46" i="1"/>
  <c r="K45" i="1"/>
  <c r="J45" i="1"/>
  <c r="E45" i="1"/>
  <c r="H45" i="1"/>
  <c r="G45" i="1"/>
  <c r="F45" i="1"/>
  <c r="K44" i="1"/>
  <c r="J44" i="1"/>
  <c r="E44" i="1"/>
  <c r="H44" i="1"/>
  <c r="G44" i="1"/>
  <c r="F44" i="1"/>
  <c r="K43" i="1"/>
  <c r="J43" i="1"/>
  <c r="E43" i="1"/>
  <c r="H43" i="1"/>
  <c r="G43" i="1"/>
  <c r="F43" i="1"/>
  <c r="K42" i="1"/>
  <c r="J42" i="1"/>
  <c r="E42" i="1"/>
  <c r="H42" i="1"/>
  <c r="G42" i="1"/>
  <c r="F42" i="1"/>
  <c r="K41" i="1"/>
  <c r="J41" i="1"/>
  <c r="E41" i="1"/>
  <c r="H41" i="1"/>
  <c r="G41" i="1"/>
  <c r="F41" i="1"/>
  <c r="K40" i="1"/>
  <c r="J40" i="1"/>
  <c r="E40" i="1"/>
  <c r="H40" i="1"/>
  <c r="G40" i="1"/>
  <c r="F40" i="1"/>
  <c r="K39" i="1"/>
  <c r="J39" i="1"/>
  <c r="E39" i="1"/>
  <c r="H39" i="1"/>
  <c r="G39" i="1"/>
  <c r="F39" i="1"/>
  <c r="K38" i="1"/>
  <c r="J38" i="1"/>
  <c r="E38" i="1"/>
  <c r="H38" i="1"/>
  <c r="G38" i="1"/>
  <c r="F38" i="1"/>
  <c r="K37" i="1"/>
  <c r="J37" i="1"/>
  <c r="E37" i="1"/>
  <c r="H37" i="1"/>
  <c r="G37" i="1"/>
  <c r="F37" i="1"/>
  <c r="K36" i="1"/>
  <c r="J36" i="1"/>
  <c r="E36" i="1"/>
  <c r="H36" i="1"/>
  <c r="G36" i="1"/>
  <c r="F36" i="1"/>
  <c r="K35" i="1"/>
  <c r="J35" i="1"/>
  <c r="E35" i="1"/>
  <c r="H35" i="1"/>
  <c r="G35" i="1"/>
  <c r="F35" i="1"/>
  <c r="K34" i="1"/>
  <c r="J34" i="1"/>
  <c r="E34" i="1"/>
  <c r="H34" i="1"/>
  <c r="G34" i="1"/>
  <c r="F34" i="1"/>
  <c r="K33" i="1"/>
  <c r="J33" i="1"/>
  <c r="E33" i="1"/>
  <c r="H33" i="1"/>
  <c r="G33" i="1"/>
  <c r="F33" i="1"/>
  <c r="K32" i="1"/>
  <c r="J32" i="1"/>
  <c r="E32" i="1"/>
  <c r="H32" i="1"/>
  <c r="G32" i="1"/>
  <c r="F32" i="1"/>
  <c r="K31" i="1"/>
  <c r="J31" i="1"/>
  <c r="E31" i="1"/>
  <c r="H31" i="1"/>
  <c r="G31" i="1"/>
  <c r="F31" i="1"/>
  <c r="K30" i="1"/>
  <c r="J30" i="1"/>
  <c r="E30" i="1"/>
  <c r="H30" i="1"/>
  <c r="G30" i="1"/>
  <c r="F30" i="1"/>
  <c r="K29" i="1"/>
  <c r="J29" i="1"/>
  <c r="E29" i="1"/>
  <c r="H29" i="1"/>
  <c r="G29" i="1"/>
  <c r="F29" i="1"/>
  <c r="K28" i="1"/>
  <c r="J28" i="1"/>
  <c r="E28" i="1"/>
  <c r="H28" i="1"/>
  <c r="G28" i="1"/>
  <c r="F28" i="1"/>
  <c r="K27" i="1"/>
  <c r="J27" i="1"/>
  <c r="E27" i="1"/>
  <c r="H27" i="1"/>
  <c r="G27" i="1"/>
  <c r="F27" i="1"/>
  <c r="K26" i="1"/>
  <c r="J26" i="1"/>
  <c r="E26" i="1"/>
  <c r="H26" i="1"/>
  <c r="G26" i="1"/>
  <c r="F26" i="1"/>
  <c r="K25" i="1"/>
  <c r="J25" i="1"/>
  <c r="E25" i="1"/>
  <c r="H25" i="1"/>
  <c r="G25" i="1"/>
  <c r="F25" i="1"/>
  <c r="K24" i="1"/>
  <c r="J24" i="1"/>
  <c r="E24" i="1"/>
  <c r="H24" i="1"/>
  <c r="G24" i="1"/>
  <c r="F24" i="1"/>
  <c r="K23" i="1"/>
  <c r="J23" i="1"/>
  <c r="E23" i="1"/>
  <c r="H23" i="1"/>
  <c r="G23" i="1"/>
  <c r="F23" i="1"/>
  <c r="K22" i="1"/>
  <c r="J22" i="1"/>
  <c r="E22" i="1"/>
  <c r="H22" i="1"/>
  <c r="G22" i="1"/>
  <c r="F22" i="1"/>
  <c r="K21" i="1"/>
  <c r="J21" i="1"/>
  <c r="E21" i="1"/>
  <c r="H21" i="1"/>
  <c r="G21" i="1"/>
  <c r="F21" i="1"/>
  <c r="K20" i="1"/>
  <c r="J20" i="1"/>
  <c r="E20" i="1"/>
  <c r="H20" i="1"/>
  <c r="G20" i="1"/>
  <c r="F20" i="1"/>
  <c r="K19" i="1"/>
  <c r="J19" i="1"/>
  <c r="E19" i="1"/>
  <c r="H19" i="1"/>
  <c r="G19" i="1"/>
  <c r="F19" i="1"/>
  <c r="K18" i="1"/>
  <c r="J18" i="1"/>
  <c r="E18" i="1"/>
  <c r="H18" i="1"/>
  <c r="G18" i="1"/>
  <c r="F18" i="1"/>
  <c r="K17" i="1"/>
  <c r="J17" i="1"/>
  <c r="E17" i="1"/>
  <c r="H17" i="1"/>
  <c r="G17" i="1"/>
  <c r="F17" i="1"/>
  <c r="K16" i="1"/>
  <c r="J16" i="1"/>
  <c r="E16" i="1"/>
  <c r="H16" i="1"/>
  <c r="G16" i="1"/>
  <c r="F16" i="1"/>
  <c r="K15" i="1"/>
  <c r="J15" i="1"/>
  <c r="E15" i="1"/>
  <c r="H15" i="1"/>
  <c r="G15" i="1"/>
  <c r="F15" i="1"/>
  <c r="K14" i="1"/>
  <c r="J14" i="1"/>
  <c r="E14" i="1"/>
  <c r="H14" i="1"/>
  <c r="G14" i="1"/>
  <c r="F14" i="1"/>
  <c r="K13" i="1"/>
  <c r="J13" i="1"/>
  <c r="E13" i="1"/>
  <c r="H13" i="1"/>
  <c r="G13" i="1"/>
  <c r="F13" i="1"/>
  <c r="K12" i="1"/>
  <c r="J12" i="1"/>
  <c r="E12" i="1"/>
  <c r="H12" i="1"/>
  <c r="G12" i="1"/>
  <c r="F12" i="1"/>
  <c r="K11" i="1"/>
  <c r="J11" i="1"/>
  <c r="E11" i="1"/>
  <c r="H11" i="1"/>
  <c r="G11" i="1"/>
  <c r="F11" i="1"/>
  <c r="K10" i="1"/>
  <c r="J10" i="1"/>
  <c r="E10" i="1"/>
  <c r="H10" i="1"/>
  <c r="G10" i="1"/>
  <c r="F10" i="1"/>
  <c r="K9" i="1"/>
  <c r="J9" i="1"/>
  <c r="E9" i="1"/>
  <c r="H9" i="1"/>
  <c r="G9" i="1"/>
  <c r="F9" i="1"/>
  <c r="K8" i="1"/>
  <c r="J8" i="1"/>
  <c r="E8" i="1"/>
  <c r="H8" i="1"/>
  <c r="G8" i="1"/>
  <c r="F8" i="1"/>
  <c r="K7" i="1"/>
  <c r="J7" i="1"/>
  <c r="E7" i="1"/>
  <c r="H7" i="1"/>
  <c r="G7" i="1"/>
  <c r="F7" i="1"/>
  <c r="K6" i="1"/>
  <c r="J6" i="1"/>
  <c r="G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</calcChain>
</file>

<file path=xl/sharedStrings.xml><?xml version="1.0" encoding="utf-8"?>
<sst xmlns="http://schemas.openxmlformats.org/spreadsheetml/2006/main" count="16" uniqueCount="16">
  <si>
    <t>hypothetical protein af1531</t>
  </si>
  <si>
    <t>GAGAAGCCAAAAGTAGAAAGGTCTGAAGGTAAGGAAAAACTTGAGGATTACGCTTATGTACTTGATTTCATGCCATACGGTCATCCTGACGATAAAAGGCCAATACACAGGAGGGAGCCGCTCGCACAAGTCGTTGGGGAGAGAAACTTTACACTTCTCGAGGTTAGCATAAGAAAGGGTAAGCAGCCCCTGGTAATGGACAGAGTTTACATCGGCAAGGGGGAGAGAGATGTAGTGTACAAGATCAAGAGAAGGCTGAGATACGAGGATTTAACTCCTGCCGCAAAGACTGAGCTGCCTTACGTTATCGAGCACATAATAAAGCAGGATGAGAAGAAGTACGTGGATTTCTTCAACAAGGCCGATTCCATAACAACGAGAATGCACCAGCTCGAGCTTCTTCCCGGCGTTGGAAAGAAGATGATGTGGGCAATAATCGAGGAGAGGAAAAAGAGGCCCTTTGAGAGTTTTGAAGACATAGCCCAGAGAGTCAAGGGCATTCAGAGGCCCGAAAAGCTAATCGTCAGCAGAATTATATACGAAATCAAGAATCCTCAAACCAAGTACAAGCTCTTTACTGCT</t>
  </si>
  <si>
    <t>organism</t>
  </si>
  <si>
    <t>A. fulgidus</t>
  </si>
  <si>
    <t>MW</t>
  </si>
  <si>
    <t>IEP</t>
  </si>
  <si>
    <t>ExtCoeff</t>
  </si>
  <si>
    <t>gene name</t>
  </si>
  <si>
    <t>Foligo</t>
  </si>
  <si>
    <t>rvoligo</t>
  </si>
  <si>
    <t>translateDNA</t>
  </si>
  <si>
    <t>Insert your DNA sequence into column E, the DNA must be capitol letter with no spaces.  Paste and copy your sequence into a program like Enzyme X to get rid of spaces and lower case letters.</t>
  </si>
  <si>
    <t>your DNA</t>
  </si>
  <si>
    <t>Abs mg/mL</t>
  </si>
  <si>
    <t>Abs 0.1%</t>
  </si>
  <si>
    <t>M-1cm-1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</si>
</sst>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20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Font="1" applyFill="1" applyAlignment="1">
      <alignment horizontal="left"/>
    </xf>
    <xf numFmtId="0" fontId="0" fillId="0" borderId="0" xfId="0" applyFont="1" applyFill="1"/>
    <xf numFmtId="0" fontId="0" fillId="0" borderId="0" xfId="0" applyFont="1" applyFill="1" applyAlignment="1">
      <alignment horizontal="center"/>
    </xf>
    <xf numFmtId="0" fontId="0" fillId="0" borderId="0" xfId="0" applyFont="1" applyFill="1" applyAlignment="1"/>
    <xf numFmtId="2" fontId="0" fillId="0" borderId="0" xfId="0" applyNumberFormat="1" applyFont="1" applyFill="1" applyAlignment="1">
      <alignment horizontal="center"/>
    </xf>
    <xf numFmtId="0" fontId="0" fillId="0" borderId="0" xfId="0" applyNumberFormat="1" applyFont="1" applyFill="1" applyAlignment="1">
      <alignment horizontal="left"/>
    </xf>
    <xf numFmtId="0" fontId="3" fillId="0" borderId="0" xfId="0" applyFont="1" applyFill="1"/>
    <xf numFmtId="0" fontId="0" fillId="0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64" fontId="0" fillId="0" borderId="0" xfId="0" applyNumberFormat="1" applyFont="1" applyFill="1" applyAlignment="1">
      <alignment horizontal="center"/>
    </xf>
  </cellXfs>
  <cellStyles count="120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29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Followed Hyperlink" xfId="333" builtinId="9" hidden="1"/>
    <cellStyle name="Followed Hyperlink" xfId="334" builtinId="9" hidden="1"/>
    <cellStyle name="Followed Hyperlink" xfId="335" builtinId="9" hidden="1"/>
    <cellStyle name="Followed Hyperlink" xfId="336" builtinId="9" hidden="1"/>
    <cellStyle name="Followed Hyperlink" xfId="337" builtinId="9" hidden="1"/>
    <cellStyle name="Followed Hyperlink" xfId="338" builtinId="9" hidden="1"/>
    <cellStyle name="Followed Hyperlink" xfId="339" builtinId="9" hidden="1"/>
    <cellStyle name="Followed Hyperlink" xfId="340" builtinId="9" hidden="1"/>
    <cellStyle name="Followed Hyperlink" xfId="341" builtinId="9" hidden="1"/>
    <cellStyle name="Followed Hyperlink" xfId="342" builtinId="9" hidden="1"/>
    <cellStyle name="Followed Hyperlink" xfId="343" builtinId="9" hidden="1"/>
    <cellStyle name="Followed Hyperlink" xfId="344" builtinId="9" hidden="1"/>
    <cellStyle name="Followed Hyperlink" xfId="345" builtinId="9" hidden="1"/>
    <cellStyle name="Followed Hyperlink" xfId="346" builtinId="9" hidden="1"/>
    <cellStyle name="Followed Hyperlink" xfId="347" builtinId="9" hidden="1"/>
    <cellStyle name="Followed Hyperlink" xfId="348" builtinId="9" hidden="1"/>
    <cellStyle name="Followed Hyperlink" xfId="349" builtinId="9" hidden="1"/>
    <cellStyle name="Followed Hyperlink" xfId="350" builtinId="9" hidden="1"/>
    <cellStyle name="Followed Hyperlink" xfId="351" builtinId="9" hidden="1"/>
    <cellStyle name="Followed Hyperlink" xfId="352" builtinId="9" hidden="1"/>
    <cellStyle name="Followed Hyperlink" xfId="353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2:K263"/>
  <sheetViews>
    <sheetView tabSelected="1" workbookViewId="0"/>
  </sheetViews>
  <sheetFormatPr baseColWidth="10" defaultRowHeight="15" x14ac:dyDescent="0"/>
  <cols>
    <col min="1" max="1" width="7" style="3" customWidth="1"/>
    <col min="2" max="2" width="16.83203125" style="2" customWidth="1"/>
    <col min="3" max="3" width="32.33203125" style="4" customWidth="1"/>
    <col min="4" max="4" width="20.1640625" style="2" customWidth="1"/>
    <col min="5" max="5" width="29.33203125" style="1" customWidth="1"/>
    <col min="6" max="7" width="10.83203125" style="2"/>
    <col min="8" max="9" width="12.83203125" style="3" customWidth="1"/>
    <col min="10" max="10" width="31.6640625" style="2" customWidth="1"/>
    <col min="11" max="11" width="35.5" style="2" customWidth="1"/>
    <col min="12" max="16384" width="10.83203125" style="2"/>
  </cols>
  <sheetData>
    <row r="2" spans="1:11">
      <c r="B2" s="2" t="s">
        <v>11</v>
      </c>
    </row>
    <row r="4" spans="1:11">
      <c r="H4" s="3" t="s">
        <v>15</v>
      </c>
      <c r="I4" s="3" t="s">
        <v>13</v>
      </c>
    </row>
    <row r="5" spans="1:11" s="10" customFormat="1">
      <c r="A5" s="9"/>
      <c r="B5" s="9" t="s">
        <v>2</v>
      </c>
      <c r="C5" s="9" t="s">
        <v>7</v>
      </c>
      <c r="D5" s="9" t="s">
        <v>12</v>
      </c>
      <c r="E5" s="9" t="s">
        <v>10</v>
      </c>
      <c r="F5" s="9" t="s">
        <v>4</v>
      </c>
      <c r="G5" s="9" t="s">
        <v>5</v>
      </c>
      <c r="H5" s="9" t="s">
        <v>6</v>
      </c>
      <c r="I5" s="9" t="s">
        <v>14</v>
      </c>
      <c r="J5" s="9" t="s">
        <v>8</v>
      </c>
      <c r="K5" s="9" t="s">
        <v>9</v>
      </c>
    </row>
    <row r="6" spans="1:11">
      <c r="A6" s="3">
        <v>1</v>
      </c>
      <c r="B6" s="2" t="s">
        <v>3</v>
      </c>
      <c r="C6" s="4" t="s">
        <v>0</v>
      </c>
      <c r="D6" s="2" t="s">
        <v>1</v>
      </c>
      <c r="E6" s="1" t="str">
        <f t="shared" ref="E6" si="0">TranslateDNA(D6)</f>
        <v>EKPKVERSEGKEKLEDYAYVLDFMPYGHPDDKRPIHRREPLAQVVGERNFTLLEVSIRKGKQPLVMDRVYIGKGERDVVYKIKRRLRYEDLTPAAKTELPYVIEHIIKQDEKKYVDFFNKADSITTRMHQLELLPGVGKKMMWAIIEERKKRPFESFEDIAQRVKGIQRPEKLIVSRIIYEIKNPQTKYKLFTA</v>
      </c>
      <c r="F6" s="5">
        <f>mw(E6)/1000</f>
        <v>23.062889999999999</v>
      </c>
      <c r="G6" s="5" t="str">
        <f>ieP(E6)</f>
        <v>10.1</v>
      </c>
      <c r="H6" s="3" t="str">
        <f>ExtCoeff(E6)</f>
        <v>20400</v>
      </c>
      <c r="I6" s="11">
        <f>H6/F6/1000</f>
        <v>0.88453788748938234</v>
      </c>
      <c r="J6" s="2" t="str">
        <f>foligo(D6)</f>
        <v>GAGAAGCCAAAAGTAGAAAGG</v>
      </c>
      <c r="K6" s="2" t="str">
        <f>rvoligo(D6)</f>
        <v>agcagtaaagagcttgtacttg</v>
      </c>
    </row>
    <row r="7" spans="1:11">
      <c r="A7" s="3">
        <f>A6+1</f>
        <v>2</v>
      </c>
      <c r="E7" s="1" t="str">
        <f t="shared" ref="E7:E70" si="1">TranslateDNA(D7)</f>
        <v/>
      </c>
      <c r="F7" s="5">
        <f t="shared" ref="F7:F70" si="2">mw(E7)/1000</f>
        <v>1.8020000000000001E-2</v>
      </c>
      <c r="G7" s="5" t="str">
        <f t="shared" ref="G7:G70" si="3">ieP(E7)</f>
        <v>6.1</v>
      </c>
      <c r="H7" s="3" t="str">
        <f t="shared" ref="H7:H70" si="4">ExtCoeff(E7)</f>
        <v>0</v>
      </c>
      <c r="J7" s="2" t="str">
        <f t="shared" ref="J7:J70" si="5">foligo(D7)</f>
        <v/>
      </c>
      <c r="K7" s="2" t="str">
        <f t="shared" ref="K7:K70" si="6">rvoligo(D7)</f>
        <v/>
      </c>
    </row>
    <row r="8" spans="1:11">
      <c r="A8" s="3">
        <f t="shared" ref="A8:A71" si="7">A7+1</f>
        <v>3</v>
      </c>
      <c r="E8" s="1" t="str">
        <f t="shared" si="1"/>
        <v/>
      </c>
      <c r="F8" s="5">
        <f t="shared" si="2"/>
        <v>1.8020000000000001E-2</v>
      </c>
      <c r="G8" s="5" t="str">
        <f t="shared" si="3"/>
        <v>6.1</v>
      </c>
      <c r="H8" s="3" t="str">
        <f t="shared" si="4"/>
        <v>0</v>
      </c>
      <c r="J8" s="2" t="str">
        <f t="shared" si="5"/>
        <v/>
      </c>
      <c r="K8" s="2" t="str">
        <f t="shared" si="6"/>
        <v/>
      </c>
    </row>
    <row r="9" spans="1:11">
      <c r="A9" s="3">
        <f t="shared" si="7"/>
        <v>4</v>
      </c>
      <c r="E9" s="1" t="str">
        <f t="shared" si="1"/>
        <v/>
      </c>
      <c r="F9" s="5">
        <f t="shared" si="2"/>
        <v>1.8020000000000001E-2</v>
      </c>
      <c r="G9" s="5" t="str">
        <f t="shared" si="3"/>
        <v>6.1</v>
      </c>
      <c r="H9" s="3" t="str">
        <f t="shared" si="4"/>
        <v>0</v>
      </c>
      <c r="J9" s="2" t="str">
        <f t="shared" si="5"/>
        <v/>
      </c>
      <c r="K9" s="2" t="str">
        <f t="shared" si="6"/>
        <v/>
      </c>
    </row>
    <row r="10" spans="1:11">
      <c r="A10" s="3">
        <f t="shared" si="7"/>
        <v>5</v>
      </c>
      <c r="E10" s="1" t="str">
        <f t="shared" si="1"/>
        <v/>
      </c>
      <c r="F10" s="5">
        <f t="shared" si="2"/>
        <v>1.8020000000000001E-2</v>
      </c>
      <c r="G10" s="5" t="str">
        <f t="shared" si="3"/>
        <v>6.1</v>
      </c>
      <c r="H10" s="3" t="str">
        <f t="shared" si="4"/>
        <v>0</v>
      </c>
      <c r="J10" s="2" t="str">
        <f t="shared" si="5"/>
        <v/>
      </c>
      <c r="K10" s="2" t="str">
        <f t="shared" si="6"/>
        <v/>
      </c>
    </row>
    <row r="11" spans="1:11">
      <c r="A11" s="3">
        <f t="shared" si="7"/>
        <v>6</v>
      </c>
      <c r="E11" s="1" t="str">
        <f t="shared" si="1"/>
        <v/>
      </c>
      <c r="F11" s="5">
        <f t="shared" si="2"/>
        <v>1.8020000000000001E-2</v>
      </c>
      <c r="G11" s="5" t="str">
        <f t="shared" si="3"/>
        <v>6.1</v>
      </c>
      <c r="H11" s="3" t="str">
        <f t="shared" si="4"/>
        <v>0</v>
      </c>
      <c r="J11" s="2" t="str">
        <f t="shared" si="5"/>
        <v/>
      </c>
      <c r="K11" s="2" t="str">
        <f t="shared" si="6"/>
        <v/>
      </c>
    </row>
    <row r="12" spans="1:11">
      <c r="A12" s="3">
        <f t="shared" si="7"/>
        <v>7</v>
      </c>
      <c r="E12" s="1" t="str">
        <f t="shared" si="1"/>
        <v/>
      </c>
      <c r="F12" s="5">
        <f t="shared" si="2"/>
        <v>1.8020000000000001E-2</v>
      </c>
      <c r="G12" s="5" t="str">
        <f t="shared" si="3"/>
        <v>6.1</v>
      </c>
      <c r="H12" s="3" t="str">
        <f t="shared" si="4"/>
        <v>0</v>
      </c>
      <c r="J12" s="2" t="str">
        <f t="shared" si="5"/>
        <v/>
      </c>
      <c r="K12" s="2" t="str">
        <f t="shared" si="6"/>
        <v/>
      </c>
    </row>
    <row r="13" spans="1:11">
      <c r="A13" s="3">
        <f t="shared" si="7"/>
        <v>8</v>
      </c>
      <c r="E13" s="1" t="str">
        <f t="shared" si="1"/>
        <v/>
      </c>
      <c r="F13" s="5">
        <f t="shared" si="2"/>
        <v>1.8020000000000001E-2</v>
      </c>
      <c r="G13" s="5" t="str">
        <f t="shared" si="3"/>
        <v>6.1</v>
      </c>
      <c r="H13" s="3" t="str">
        <f t="shared" si="4"/>
        <v>0</v>
      </c>
      <c r="J13" s="2" t="str">
        <f t="shared" si="5"/>
        <v/>
      </c>
      <c r="K13" s="2" t="str">
        <f t="shared" si="6"/>
        <v/>
      </c>
    </row>
    <row r="14" spans="1:11">
      <c r="A14" s="3">
        <f t="shared" si="7"/>
        <v>9</v>
      </c>
      <c r="E14" s="1" t="str">
        <f t="shared" si="1"/>
        <v/>
      </c>
      <c r="F14" s="5">
        <f t="shared" si="2"/>
        <v>1.8020000000000001E-2</v>
      </c>
      <c r="G14" s="5" t="str">
        <f t="shared" si="3"/>
        <v>6.1</v>
      </c>
      <c r="H14" s="3" t="str">
        <f t="shared" si="4"/>
        <v>0</v>
      </c>
      <c r="J14" s="2" t="str">
        <f t="shared" si="5"/>
        <v/>
      </c>
      <c r="K14" s="2" t="str">
        <f t="shared" si="6"/>
        <v/>
      </c>
    </row>
    <row r="15" spans="1:11">
      <c r="A15" s="3">
        <f t="shared" si="7"/>
        <v>10</v>
      </c>
      <c r="E15" s="1" t="str">
        <f t="shared" si="1"/>
        <v/>
      </c>
      <c r="F15" s="5">
        <f t="shared" si="2"/>
        <v>1.8020000000000001E-2</v>
      </c>
      <c r="G15" s="5" t="str">
        <f t="shared" si="3"/>
        <v>6.1</v>
      </c>
      <c r="H15" s="3" t="str">
        <f t="shared" si="4"/>
        <v>0</v>
      </c>
      <c r="J15" s="2" t="str">
        <f t="shared" si="5"/>
        <v/>
      </c>
      <c r="K15" s="2" t="str">
        <f t="shared" si="6"/>
        <v/>
      </c>
    </row>
    <row r="16" spans="1:11">
      <c r="A16" s="3">
        <f t="shared" si="7"/>
        <v>11</v>
      </c>
      <c r="E16" s="1" t="str">
        <f t="shared" si="1"/>
        <v/>
      </c>
      <c r="F16" s="5">
        <f t="shared" si="2"/>
        <v>1.8020000000000001E-2</v>
      </c>
      <c r="G16" s="5" t="str">
        <f t="shared" si="3"/>
        <v>6.1</v>
      </c>
      <c r="H16" s="3" t="str">
        <f t="shared" si="4"/>
        <v>0</v>
      </c>
      <c r="J16" s="2" t="str">
        <f t="shared" si="5"/>
        <v/>
      </c>
      <c r="K16" s="2" t="str">
        <f t="shared" si="6"/>
        <v/>
      </c>
    </row>
    <row r="17" spans="1:11">
      <c r="A17" s="3">
        <f t="shared" si="7"/>
        <v>12</v>
      </c>
      <c r="E17" s="1" t="str">
        <f t="shared" si="1"/>
        <v/>
      </c>
      <c r="F17" s="5">
        <f t="shared" si="2"/>
        <v>1.8020000000000001E-2</v>
      </c>
      <c r="G17" s="5" t="str">
        <f t="shared" si="3"/>
        <v>6.1</v>
      </c>
      <c r="H17" s="3" t="str">
        <f t="shared" si="4"/>
        <v>0</v>
      </c>
      <c r="J17" s="2" t="str">
        <f t="shared" si="5"/>
        <v/>
      </c>
      <c r="K17" s="2" t="str">
        <f t="shared" si="6"/>
        <v/>
      </c>
    </row>
    <row r="18" spans="1:11">
      <c r="A18" s="3">
        <f t="shared" si="7"/>
        <v>13</v>
      </c>
      <c r="E18" s="1" t="str">
        <f t="shared" si="1"/>
        <v/>
      </c>
      <c r="F18" s="5">
        <f t="shared" si="2"/>
        <v>1.8020000000000001E-2</v>
      </c>
      <c r="G18" s="5" t="str">
        <f t="shared" si="3"/>
        <v>6.1</v>
      </c>
      <c r="H18" s="3" t="str">
        <f t="shared" si="4"/>
        <v>0</v>
      </c>
      <c r="J18" s="2" t="str">
        <f t="shared" si="5"/>
        <v/>
      </c>
      <c r="K18" s="2" t="str">
        <f t="shared" si="6"/>
        <v/>
      </c>
    </row>
    <row r="19" spans="1:11">
      <c r="A19" s="3">
        <f t="shared" si="7"/>
        <v>14</v>
      </c>
      <c r="E19" s="1" t="str">
        <f t="shared" si="1"/>
        <v/>
      </c>
      <c r="F19" s="5">
        <f t="shared" si="2"/>
        <v>1.8020000000000001E-2</v>
      </c>
      <c r="G19" s="5" t="str">
        <f t="shared" si="3"/>
        <v>6.1</v>
      </c>
      <c r="H19" s="3" t="str">
        <f t="shared" si="4"/>
        <v>0</v>
      </c>
      <c r="J19" s="2" t="str">
        <f t="shared" si="5"/>
        <v/>
      </c>
      <c r="K19" s="2" t="str">
        <f t="shared" si="6"/>
        <v/>
      </c>
    </row>
    <row r="20" spans="1:11">
      <c r="A20" s="3">
        <f t="shared" si="7"/>
        <v>15</v>
      </c>
      <c r="E20" s="1" t="str">
        <f t="shared" si="1"/>
        <v/>
      </c>
      <c r="F20" s="5">
        <f t="shared" si="2"/>
        <v>1.8020000000000001E-2</v>
      </c>
      <c r="G20" s="5" t="str">
        <f t="shared" si="3"/>
        <v>6.1</v>
      </c>
      <c r="H20" s="3" t="str">
        <f t="shared" si="4"/>
        <v>0</v>
      </c>
      <c r="J20" s="2" t="str">
        <f t="shared" si="5"/>
        <v/>
      </c>
      <c r="K20" s="2" t="str">
        <f t="shared" si="6"/>
        <v/>
      </c>
    </row>
    <row r="21" spans="1:11">
      <c r="A21" s="3">
        <f t="shared" si="7"/>
        <v>16</v>
      </c>
      <c r="E21" s="6" t="str">
        <f t="shared" si="1"/>
        <v/>
      </c>
      <c r="F21" s="5">
        <f t="shared" si="2"/>
        <v>1.8020000000000001E-2</v>
      </c>
      <c r="G21" s="5" t="str">
        <f t="shared" si="3"/>
        <v>6.1</v>
      </c>
      <c r="H21" s="3" t="str">
        <f t="shared" si="4"/>
        <v>0</v>
      </c>
      <c r="J21" s="2" t="str">
        <f t="shared" si="5"/>
        <v/>
      </c>
      <c r="K21" s="2" t="str">
        <f t="shared" si="6"/>
        <v/>
      </c>
    </row>
    <row r="22" spans="1:11">
      <c r="A22" s="3">
        <f t="shared" si="7"/>
        <v>17</v>
      </c>
      <c r="E22" s="1" t="str">
        <f t="shared" si="1"/>
        <v/>
      </c>
      <c r="F22" s="5">
        <f t="shared" si="2"/>
        <v>1.8020000000000001E-2</v>
      </c>
      <c r="G22" s="5" t="str">
        <f t="shared" si="3"/>
        <v>6.1</v>
      </c>
      <c r="H22" s="3" t="str">
        <f t="shared" si="4"/>
        <v>0</v>
      </c>
      <c r="J22" s="2" t="str">
        <f t="shared" si="5"/>
        <v/>
      </c>
      <c r="K22" s="2" t="str">
        <f t="shared" si="6"/>
        <v/>
      </c>
    </row>
    <row r="23" spans="1:11">
      <c r="A23" s="3">
        <f t="shared" si="7"/>
        <v>18</v>
      </c>
      <c r="E23" s="1" t="str">
        <f t="shared" si="1"/>
        <v/>
      </c>
      <c r="F23" s="5">
        <f t="shared" si="2"/>
        <v>1.8020000000000001E-2</v>
      </c>
      <c r="G23" s="5" t="str">
        <f t="shared" si="3"/>
        <v>6.1</v>
      </c>
      <c r="H23" s="3" t="str">
        <f t="shared" si="4"/>
        <v>0</v>
      </c>
      <c r="J23" s="2" t="str">
        <f t="shared" si="5"/>
        <v/>
      </c>
      <c r="K23" s="2" t="str">
        <f t="shared" si="6"/>
        <v/>
      </c>
    </row>
    <row r="24" spans="1:11">
      <c r="A24" s="3">
        <f t="shared" si="7"/>
        <v>19</v>
      </c>
      <c r="E24" s="1" t="str">
        <f t="shared" si="1"/>
        <v/>
      </c>
      <c r="F24" s="5">
        <f t="shared" si="2"/>
        <v>1.8020000000000001E-2</v>
      </c>
      <c r="G24" s="5" t="str">
        <f t="shared" si="3"/>
        <v>6.1</v>
      </c>
      <c r="H24" s="3" t="str">
        <f t="shared" si="4"/>
        <v>0</v>
      </c>
      <c r="J24" s="2" t="str">
        <f t="shared" si="5"/>
        <v/>
      </c>
      <c r="K24" s="2" t="str">
        <f t="shared" si="6"/>
        <v/>
      </c>
    </row>
    <row r="25" spans="1:11">
      <c r="A25" s="3">
        <f t="shared" si="7"/>
        <v>20</v>
      </c>
      <c r="E25" s="1" t="str">
        <f t="shared" si="1"/>
        <v/>
      </c>
      <c r="F25" s="5">
        <f t="shared" si="2"/>
        <v>1.8020000000000001E-2</v>
      </c>
      <c r="G25" s="5" t="str">
        <f t="shared" si="3"/>
        <v>6.1</v>
      </c>
      <c r="H25" s="3" t="str">
        <f t="shared" si="4"/>
        <v>0</v>
      </c>
      <c r="J25" s="2" t="str">
        <f t="shared" si="5"/>
        <v/>
      </c>
      <c r="K25" s="2" t="str">
        <f t="shared" si="6"/>
        <v/>
      </c>
    </row>
    <row r="26" spans="1:11">
      <c r="A26" s="3">
        <f t="shared" si="7"/>
        <v>21</v>
      </c>
      <c r="E26" s="1" t="str">
        <f t="shared" si="1"/>
        <v/>
      </c>
      <c r="F26" s="5">
        <f t="shared" si="2"/>
        <v>1.8020000000000001E-2</v>
      </c>
      <c r="G26" s="5" t="str">
        <f t="shared" si="3"/>
        <v>6.1</v>
      </c>
      <c r="H26" s="3" t="str">
        <f t="shared" si="4"/>
        <v>0</v>
      </c>
      <c r="J26" s="2" t="str">
        <f t="shared" si="5"/>
        <v/>
      </c>
      <c r="K26" s="2" t="str">
        <f t="shared" si="6"/>
        <v/>
      </c>
    </row>
    <row r="27" spans="1:11">
      <c r="A27" s="3">
        <f t="shared" si="7"/>
        <v>22</v>
      </c>
      <c r="E27" s="1" t="str">
        <f t="shared" si="1"/>
        <v/>
      </c>
      <c r="F27" s="5">
        <f t="shared" si="2"/>
        <v>1.8020000000000001E-2</v>
      </c>
      <c r="G27" s="5" t="str">
        <f t="shared" si="3"/>
        <v>6.1</v>
      </c>
      <c r="H27" s="3" t="str">
        <f t="shared" si="4"/>
        <v>0</v>
      </c>
      <c r="J27" s="2" t="str">
        <f t="shared" si="5"/>
        <v/>
      </c>
      <c r="K27" s="2" t="str">
        <f t="shared" si="6"/>
        <v/>
      </c>
    </row>
    <row r="28" spans="1:11">
      <c r="A28" s="3">
        <f t="shared" si="7"/>
        <v>23</v>
      </c>
      <c r="E28" s="1" t="str">
        <f t="shared" si="1"/>
        <v/>
      </c>
      <c r="F28" s="5">
        <f t="shared" si="2"/>
        <v>1.8020000000000001E-2</v>
      </c>
      <c r="G28" s="5" t="str">
        <f t="shared" si="3"/>
        <v>6.1</v>
      </c>
      <c r="H28" s="3" t="str">
        <f t="shared" si="4"/>
        <v>0</v>
      </c>
      <c r="J28" s="2" t="str">
        <f t="shared" si="5"/>
        <v/>
      </c>
      <c r="K28" s="2" t="str">
        <f t="shared" si="6"/>
        <v/>
      </c>
    </row>
    <row r="29" spans="1:11">
      <c r="A29" s="3">
        <f t="shared" si="7"/>
        <v>24</v>
      </c>
      <c r="E29" s="1" t="str">
        <f t="shared" si="1"/>
        <v/>
      </c>
      <c r="F29" s="5">
        <f t="shared" si="2"/>
        <v>1.8020000000000001E-2</v>
      </c>
      <c r="G29" s="5" t="str">
        <f t="shared" si="3"/>
        <v>6.1</v>
      </c>
      <c r="H29" s="3" t="str">
        <f t="shared" si="4"/>
        <v>0</v>
      </c>
      <c r="J29" s="2" t="str">
        <f t="shared" si="5"/>
        <v/>
      </c>
      <c r="K29" s="2" t="str">
        <f t="shared" si="6"/>
        <v/>
      </c>
    </row>
    <row r="30" spans="1:11">
      <c r="A30" s="3">
        <f t="shared" si="7"/>
        <v>25</v>
      </c>
      <c r="E30" s="1" t="str">
        <f t="shared" si="1"/>
        <v/>
      </c>
      <c r="F30" s="5">
        <f t="shared" si="2"/>
        <v>1.8020000000000001E-2</v>
      </c>
      <c r="G30" s="5" t="str">
        <f t="shared" si="3"/>
        <v>6.1</v>
      </c>
      <c r="H30" s="3" t="str">
        <f t="shared" si="4"/>
        <v>0</v>
      </c>
      <c r="J30" s="2" t="str">
        <f t="shared" si="5"/>
        <v/>
      </c>
      <c r="K30" s="2" t="str">
        <f t="shared" si="6"/>
        <v/>
      </c>
    </row>
    <row r="31" spans="1:11">
      <c r="A31" s="3">
        <f t="shared" si="7"/>
        <v>26</v>
      </c>
      <c r="E31" s="1" t="str">
        <f t="shared" si="1"/>
        <v/>
      </c>
      <c r="F31" s="5">
        <f t="shared" si="2"/>
        <v>1.8020000000000001E-2</v>
      </c>
      <c r="G31" s="5" t="str">
        <f t="shared" si="3"/>
        <v>6.1</v>
      </c>
      <c r="H31" s="3" t="str">
        <f t="shared" si="4"/>
        <v>0</v>
      </c>
      <c r="J31" s="2" t="str">
        <f t="shared" si="5"/>
        <v/>
      </c>
      <c r="K31" s="2" t="str">
        <f t="shared" si="6"/>
        <v/>
      </c>
    </row>
    <row r="32" spans="1:11">
      <c r="A32" s="3">
        <f t="shared" si="7"/>
        <v>27</v>
      </c>
      <c r="E32" s="1" t="str">
        <f t="shared" si="1"/>
        <v/>
      </c>
      <c r="F32" s="5">
        <f t="shared" si="2"/>
        <v>1.8020000000000001E-2</v>
      </c>
      <c r="G32" s="5" t="str">
        <f t="shared" si="3"/>
        <v>6.1</v>
      </c>
      <c r="H32" s="3" t="str">
        <f t="shared" si="4"/>
        <v>0</v>
      </c>
      <c r="J32" s="2" t="str">
        <f t="shared" si="5"/>
        <v/>
      </c>
      <c r="K32" s="2" t="str">
        <f t="shared" si="6"/>
        <v/>
      </c>
    </row>
    <row r="33" spans="1:11">
      <c r="A33" s="3">
        <f t="shared" si="7"/>
        <v>28</v>
      </c>
      <c r="E33" s="1" t="str">
        <f t="shared" si="1"/>
        <v/>
      </c>
      <c r="F33" s="5">
        <f t="shared" si="2"/>
        <v>1.8020000000000001E-2</v>
      </c>
      <c r="G33" s="5" t="str">
        <f t="shared" si="3"/>
        <v>6.1</v>
      </c>
      <c r="H33" s="3" t="str">
        <f t="shared" si="4"/>
        <v>0</v>
      </c>
      <c r="J33" s="2" t="str">
        <f t="shared" si="5"/>
        <v/>
      </c>
      <c r="K33" s="2" t="str">
        <f t="shared" si="6"/>
        <v/>
      </c>
    </row>
    <row r="34" spans="1:11">
      <c r="A34" s="3">
        <f t="shared" si="7"/>
        <v>29</v>
      </c>
      <c r="E34" s="1" t="str">
        <f t="shared" si="1"/>
        <v/>
      </c>
      <c r="F34" s="5">
        <f t="shared" si="2"/>
        <v>1.8020000000000001E-2</v>
      </c>
      <c r="G34" s="5" t="str">
        <f t="shared" si="3"/>
        <v>6.1</v>
      </c>
      <c r="H34" s="3" t="str">
        <f t="shared" si="4"/>
        <v>0</v>
      </c>
      <c r="J34" s="2" t="str">
        <f t="shared" si="5"/>
        <v/>
      </c>
      <c r="K34" s="2" t="str">
        <f t="shared" si="6"/>
        <v/>
      </c>
    </row>
    <row r="35" spans="1:11">
      <c r="A35" s="3">
        <f t="shared" si="7"/>
        <v>30</v>
      </c>
      <c r="E35" s="1" t="str">
        <f t="shared" si="1"/>
        <v/>
      </c>
      <c r="F35" s="5">
        <f t="shared" si="2"/>
        <v>1.8020000000000001E-2</v>
      </c>
      <c r="G35" s="5" t="str">
        <f t="shared" si="3"/>
        <v>6.1</v>
      </c>
      <c r="H35" s="3" t="str">
        <f t="shared" si="4"/>
        <v>0</v>
      </c>
      <c r="J35" s="2" t="str">
        <f t="shared" si="5"/>
        <v/>
      </c>
      <c r="K35" s="2" t="str">
        <f t="shared" si="6"/>
        <v/>
      </c>
    </row>
    <row r="36" spans="1:11">
      <c r="A36" s="3">
        <f t="shared" si="7"/>
        <v>31</v>
      </c>
      <c r="E36" s="1" t="str">
        <f t="shared" si="1"/>
        <v/>
      </c>
      <c r="F36" s="5">
        <f t="shared" si="2"/>
        <v>1.8020000000000001E-2</v>
      </c>
      <c r="G36" s="5" t="str">
        <f t="shared" si="3"/>
        <v>6.1</v>
      </c>
      <c r="H36" s="3" t="str">
        <f t="shared" si="4"/>
        <v>0</v>
      </c>
      <c r="J36" s="2" t="str">
        <f t="shared" si="5"/>
        <v/>
      </c>
      <c r="K36" s="2" t="str">
        <f t="shared" si="6"/>
        <v/>
      </c>
    </row>
    <row r="37" spans="1:11">
      <c r="A37" s="3">
        <f t="shared" si="7"/>
        <v>32</v>
      </c>
      <c r="E37" s="1" t="str">
        <f t="shared" si="1"/>
        <v/>
      </c>
      <c r="F37" s="5">
        <f t="shared" si="2"/>
        <v>1.8020000000000001E-2</v>
      </c>
      <c r="G37" s="5" t="str">
        <f t="shared" si="3"/>
        <v>6.1</v>
      </c>
      <c r="H37" s="3" t="str">
        <f t="shared" si="4"/>
        <v>0</v>
      </c>
      <c r="J37" s="2" t="str">
        <f t="shared" si="5"/>
        <v/>
      </c>
      <c r="K37" s="2" t="str">
        <f t="shared" si="6"/>
        <v/>
      </c>
    </row>
    <row r="38" spans="1:11">
      <c r="A38" s="3">
        <f t="shared" si="7"/>
        <v>33</v>
      </c>
      <c r="E38" s="1" t="str">
        <f t="shared" si="1"/>
        <v/>
      </c>
      <c r="F38" s="5">
        <f t="shared" si="2"/>
        <v>1.8020000000000001E-2</v>
      </c>
      <c r="G38" s="5" t="str">
        <f t="shared" si="3"/>
        <v>6.1</v>
      </c>
      <c r="H38" s="3" t="str">
        <f t="shared" si="4"/>
        <v>0</v>
      </c>
      <c r="J38" s="2" t="str">
        <f t="shared" si="5"/>
        <v/>
      </c>
      <c r="K38" s="2" t="str">
        <f t="shared" si="6"/>
        <v/>
      </c>
    </row>
    <row r="39" spans="1:11">
      <c r="A39" s="3">
        <f t="shared" si="7"/>
        <v>34</v>
      </c>
      <c r="E39" s="1" t="str">
        <f t="shared" si="1"/>
        <v/>
      </c>
      <c r="F39" s="5">
        <f t="shared" si="2"/>
        <v>1.8020000000000001E-2</v>
      </c>
      <c r="G39" s="5" t="str">
        <f t="shared" si="3"/>
        <v>6.1</v>
      </c>
      <c r="H39" s="3" t="str">
        <f t="shared" si="4"/>
        <v>0</v>
      </c>
      <c r="J39" s="2" t="str">
        <f t="shared" si="5"/>
        <v/>
      </c>
      <c r="K39" s="2" t="str">
        <f t="shared" si="6"/>
        <v/>
      </c>
    </row>
    <row r="40" spans="1:11">
      <c r="A40" s="3">
        <f t="shared" si="7"/>
        <v>35</v>
      </c>
      <c r="E40" s="1" t="str">
        <f t="shared" si="1"/>
        <v/>
      </c>
      <c r="F40" s="5">
        <f t="shared" si="2"/>
        <v>1.8020000000000001E-2</v>
      </c>
      <c r="G40" s="5" t="str">
        <f t="shared" si="3"/>
        <v>6.1</v>
      </c>
      <c r="H40" s="3" t="str">
        <f t="shared" si="4"/>
        <v>0</v>
      </c>
      <c r="J40" s="2" t="str">
        <f t="shared" si="5"/>
        <v/>
      </c>
      <c r="K40" s="2" t="str">
        <f t="shared" si="6"/>
        <v/>
      </c>
    </row>
    <row r="41" spans="1:11">
      <c r="A41" s="3">
        <f t="shared" si="7"/>
        <v>36</v>
      </c>
      <c r="E41" s="1" t="str">
        <f t="shared" si="1"/>
        <v/>
      </c>
      <c r="F41" s="5">
        <f t="shared" si="2"/>
        <v>1.8020000000000001E-2</v>
      </c>
      <c r="G41" s="5" t="str">
        <f t="shared" si="3"/>
        <v>6.1</v>
      </c>
      <c r="H41" s="3" t="str">
        <f t="shared" si="4"/>
        <v>0</v>
      </c>
      <c r="J41" s="2" t="str">
        <f t="shared" si="5"/>
        <v/>
      </c>
      <c r="K41" s="2" t="str">
        <f t="shared" si="6"/>
        <v/>
      </c>
    </row>
    <row r="42" spans="1:11">
      <c r="A42" s="3">
        <f t="shared" si="7"/>
        <v>37</v>
      </c>
      <c r="E42" s="1" t="str">
        <f t="shared" si="1"/>
        <v/>
      </c>
      <c r="F42" s="5">
        <f t="shared" si="2"/>
        <v>1.8020000000000001E-2</v>
      </c>
      <c r="G42" s="5" t="str">
        <f t="shared" si="3"/>
        <v>6.1</v>
      </c>
      <c r="H42" s="3" t="str">
        <f t="shared" si="4"/>
        <v>0</v>
      </c>
      <c r="J42" s="2" t="str">
        <f t="shared" si="5"/>
        <v/>
      </c>
      <c r="K42" s="2" t="str">
        <f t="shared" si="6"/>
        <v/>
      </c>
    </row>
    <row r="43" spans="1:11">
      <c r="A43" s="3">
        <f t="shared" si="7"/>
        <v>38</v>
      </c>
      <c r="D43" s="1"/>
      <c r="E43" s="1" t="str">
        <f t="shared" si="1"/>
        <v/>
      </c>
      <c r="F43" s="5">
        <f t="shared" si="2"/>
        <v>1.8020000000000001E-2</v>
      </c>
      <c r="G43" s="5" t="str">
        <f t="shared" si="3"/>
        <v>6.1</v>
      </c>
      <c r="H43" s="3" t="str">
        <f t="shared" si="4"/>
        <v>0</v>
      </c>
      <c r="J43" s="2" t="str">
        <f t="shared" si="5"/>
        <v/>
      </c>
      <c r="K43" s="2" t="str">
        <f t="shared" si="6"/>
        <v/>
      </c>
    </row>
    <row r="44" spans="1:11">
      <c r="A44" s="3">
        <f t="shared" si="7"/>
        <v>39</v>
      </c>
      <c r="C44" s="2"/>
      <c r="D44" s="1"/>
      <c r="E44" s="1" t="str">
        <f t="shared" si="1"/>
        <v/>
      </c>
      <c r="F44" s="5">
        <f t="shared" si="2"/>
        <v>1.8020000000000001E-2</v>
      </c>
      <c r="G44" s="5" t="str">
        <f t="shared" si="3"/>
        <v>6.1</v>
      </c>
      <c r="H44" s="3" t="str">
        <f t="shared" si="4"/>
        <v>0</v>
      </c>
      <c r="J44" s="2" t="str">
        <f t="shared" si="5"/>
        <v/>
      </c>
      <c r="K44" s="2" t="str">
        <f t="shared" si="6"/>
        <v/>
      </c>
    </row>
    <row r="45" spans="1:11">
      <c r="A45" s="3">
        <f t="shared" si="7"/>
        <v>40</v>
      </c>
      <c r="C45" s="2"/>
      <c r="D45" s="1"/>
      <c r="E45" s="1" t="str">
        <f t="shared" si="1"/>
        <v/>
      </c>
      <c r="F45" s="5">
        <f t="shared" si="2"/>
        <v>1.8020000000000001E-2</v>
      </c>
      <c r="G45" s="5" t="str">
        <f t="shared" si="3"/>
        <v>6.1</v>
      </c>
      <c r="H45" s="3" t="str">
        <f t="shared" si="4"/>
        <v>0</v>
      </c>
      <c r="J45" s="2" t="str">
        <f t="shared" si="5"/>
        <v/>
      </c>
      <c r="K45" s="2" t="str">
        <f t="shared" si="6"/>
        <v/>
      </c>
    </row>
    <row r="46" spans="1:11">
      <c r="A46" s="3">
        <f t="shared" si="7"/>
        <v>41</v>
      </c>
      <c r="C46" s="2"/>
      <c r="D46" s="1"/>
      <c r="E46" s="1" t="str">
        <f t="shared" si="1"/>
        <v/>
      </c>
      <c r="F46" s="5">
        <f t="shared" si="2"/>
        <v>1.8020000000000001E-2</v>
      </c>
      <c r="G46" s="5" t="str">
        <f t="shared" si="3"/>
        <v>6.1</v>
      </c>
      <c r="H46" s="3" t="str">
        <f t="shared" si="4"/>
        <v>0</v>
      </c>
      <c r="J46" s="2" t="str">
        <f t="shared" si="5"/>
        <v/>
      </c>
      <c r="K46" s="2" t="str">
        <f t="shared" si="6"/>
        <v/>
      </c>
    </row>
    <row r="47" spans="1:11">
      <c r="A47" s="3">
        <f t="shared" si="7"/>
        <v>42</v>
      </c>
      <c r="C47" s="2"/>
      <c r="D47" s="1"/>
      <c r="E47" s="1" t="str">
        <f t="shared" si="1"/>
        <v/>
      </c>
      <c r="F47" s="5">
        <f t="shared" si="2"/>
        <v>1.8020000000000001E-2</v>
      </c>
      <c r="G47" s="5" t="str">
        <f t="shared" si="3"/>
        <v>6.1</v>
      </c>
      <c r="H47" s="3" t="str">
        <f t="shared" si="4"/>
        <v>0</v>
      </c>
      <c r="J47" s="2" t="str">
        <f t="shared" si="5"/>
        <v/>
      </c>
      <c r="K47" s="2" t="str">
        <f t="shared" si="6"/>
        <v/>
      </c>
    </row>
    <row r="48" spans="1:11">
      <c r="A48" s="3">
        <f t="shared" si="7"/>
        <v>43</v>
      </c>
      <c r="C48" s="2"/>
      <c r="D48" s="1"/>
      <c r="E48" s="1" t="str">
        <f t="shared" si="1"/>
        <v/>
      </c>
      <c r="F48" s="5">
        <f t="shared" si="2"/>
        <v>1.8020000000000001E-2</v>
      </c>
      <c r="G48" s="5" t="str">
        <f t="shared" si="3"/>
        <v>6.1</v>
      </c>
      <c r="H48" s="3" t="str">
        <f t="shared" si="4"/>
        <v>0</v>
      </c>
      <c r="J48" s="2" t="str">
        <f t="shared" si="5"/>
        <v/>
      </c>
      <c r="K48" s="2" t="str">
        <f t="shared" si="6"/>
        <v/>
      </c>
    </row>
    <row r="49" spans="1:11">
      <c r="A49" s="3">
        <f t="shared" si="7"/>
        <v>44</v>
      </c>
      <c r="C49" s="2"/>
      <c r="D49" s="1"/>
      <c r="E49" s="1" t="str">
        <f t="shared" si="1"/>
        <v/>
      </c>
      <c r="F49" s="5">
        <f t="shared" si="2"/>
        <v>1.8020000000000001E-2</v>
      </c>
      <c r="G49" s="5" t="str">
        <f t="shared" si="3"/>
        <v>6.1</v>
      </c>
      <c r="H49" s="3" t="str">
        <f t="shared" si="4"/>
        <v>0</v>
      </c>
      <c r="J49" s="2" t="str">
        <f t="shared" si="5"/>
        <v/>
      </c>
      <c r="K49" s="2" t="str">
        <f t="shared" si="6"/>
        <v/>
      </c>
    </row>
    <row r="50" spans="1:11">
      <c r="A50" s="3">
        <f t="shared" si="7"/>
        <v>45</v>
      </c>
      <c r="C50" s="2"/>
      <c r="D50" s="1"/>
      <c r="E50" s="1" t="str">
        <f t="shared" si="1"/>
        <v/>
      </c>
      <c r="F50" s="5">
        <f t="shared" si="2"/>
        <v>1.8020000000000001E-2</v>
      </c>
      <c r="G50" s="5" t="str">
        <f t="shared" si="3"/>
        <v>6.1</v>
      </c>
      <c r="H50" s="3" t="str">
        <f t="shared" si="4"/>
        <v>0</v>
      </c>
      <c r="J50" s="2" t="str">
        <f t="shared" si="5"/>
        <v/>
      </c>
      <c r="K50" s="2" t="str">
        <f t="shared" si="6"/>
        <v/>
      </c>
    </row>
    <row r="51" spans="1:11">
      <c r="A51" s="3">
        <f t="shared" si="7"/>
        <v>46</v>
      </c>
      <c r="C51" s="2"/>
      <c r="D51" s="1"/>
      <c r="E51" s="1" t="str">
        <f t="shared" si="1"/>
        <v/>
      </c>
      <c r="F51" s="5">
        <f t="shared" si="2"/>
        <v>1.8020000000000001E-2</v>
      </c>
      <c r="G51" s="5" t="str">
        <f t="shared" si="3"/>
        <v>6.1</v>
      </c>
      <c r="H51" s="3" t="str">
        <f t="shared" si="4"/>
        <v>0</v>
      </c>
      <c r="J51" s="2" t="str">
        <f t="shared" si="5"/>
        <v/>
      </c>
      <c r="K51" s="2" t="str">
        <f t="shared" si="6"/>
        <v/>
      </c>
    </row>
    <row r="52" spans="1:11">
      <c r="A52" s="3">
        <f t="shared" si="7"/>
        <v>47</v>
      </c>
      <c r="C52" s="2"/>
      <c r="D52" s="1"/>
      <c r="E52" s="1" t="str">
        <f t="shared" si="1"/>
        <v/>
      </c>
      <c r="F52" s="5">
        <f t="shared" si="2"/>
        <v>1.8020000000000001E-2</v>
      </c>
      <c r="G52" s="5" t="str">
        <f t="shared" si="3"/>
        <v>6.1</v>
      </c>
      <c r="H52" s="3" t="str">
        <f t="shared" si="4"/>
        <v>0</v>
      </c>
      <c r="J52" s="2" t="str">
        <f t="shared" si="5"/>
        <v/>
      </c>
      <c r="K52" s="2" t="str">
        <f t="shared" si="6"/>
        <v/>
      </c>
    </row>
    <row r="53" spans="1:11">
      <c r="A53" s="3">
        <f t="shared" si="7"/>
        <v>48</v>
      </c>
      <c r="C53" s="2"/>
      <c r="D53" s="1"/>
      <c r="E53" s="1" t="str">
        <f t="shared" si="1"/>
        <v/>
      </c>
      <c r="F53" s="5">
        <f t="shared" si="2"/>
        <v>1.8020000000000001E-2</v>
      </c>
      <c r="G53" s="5" t="str">
        <f t="shared" si="3"/>
        <v>6.1</v>
      </c>
      <c r="H53" s="3" t="str">
        <f t="shared" si="4"/>
        <v>0</v>
      </c>
      <c r="J53" s="2" t="str">
        <f t="shared" si="5"/>
        <v/>
      </c>
      <c r="K53" s="2" t="str">
        <f t="shared" si="6"/>
        <v/>
      </c>
    </row>
    <row r="54" spans="1:11">
      <c r="A54" s="3">
        <f t="shared" si="7"/>
        <v>49</v>
      </c>
      <c r="C54" s="2"/>
      <c r="D54" s="1"/>
      <c r="E54" s="1" t="str">
        <f t="shared" si="1"/>
        <v/>
      </c>
      <c r="F54" s="5">
        <f t="shared" si="2"/>
        <v>1.8020000000000001E-2</v>
      </c>
      <c r="G54" s="5" t="str">
        <f t="shared" si="3"/>
        <v>6.1</v>
      </c>
      <c r="H54" s="3" t="str">
        <f t="shared" si="4"/>
        <v>0</v>
      </c>
      <c r="J54" s="2" t="str">
        <f t="shared" si="5"/>
        <v/>
      </c>
      <c r="K54" s="2" t="str">
        <f t="shared" si="6"/>
        <v/>
      </c>
    </row>
    <row r="55" spans="1:11">
      <c r="A55" s="3">
        <f t="shared" si="7"/>
        <v>50</v>
      </c>
      <c r="C55" s="2"/>
      <c r="D55" s="1"/>
      <c r="E55" s="1" t="str">
        <f t="shared" si="1"/>
        <v/>
      </c>
      <c r="F55" s="5">
        <f t="shared" si="2"/>
        <v>1.8020000000000001E-2</v>
      </c>
      <c r="G55" s="5" t="str">
        <f t="shared" si="3"/>
        <v>6.1</v>
      </c>
      <c r="H55" s="3" t="str">
        <f t="shared" si="4"/>
        <v>0</v>
      </c>
      <c r="J55" s="2" t="str">
        <f t="shared" si="5"/>
        <v/>
      </c>
      <c r="K55" s="2" t="str">
        <f t="shared" si="6"/>
        <v/>
      </c>
    </row>
    <row r="56" spans="1:11">
      <c r="A56" s="3">
        <f t="shared" si="7"/>
        <v>51</v>
      </c>
      <c r="C56" s="2"/>
      <c r="D56" s="1"/>
      <c r="E56" s="1" t="str">
        <f t="shared" si="1"/>
        <v/>
      </c>
      <c r="F56" s="5">
        <f t="shared" si="2"/>
        <v>1.8020000000000001E-2</v>
      </c>
      <c r="G56" s="5" t="str">
        <f t="shared" si="3"/>
        <v>6.1</v>
      </c>
      <c r="H56" s="3" t="str">
        <f t="shared" si="4"/>
        <v>0</v>
      </c>
      <c r="J56" s="2" t="str">
        <f t="shared" si="5"/>
        <v/>
      </c>
      <c r="K56" s="2" t="str">
        <f t="shared" si="6"/>
        <v/>
      </c>
    </row>
    <row r="57" spans="1:11">
      <c r="A57" s="3">
        <f t="shared" si="7"/>
        <v>52</v>
      </c>
      <c r="C57" s="2"/>
      <c r="D57" s="1"/>
      <c r="E57" s="1" t="str">
        <f t="shared" si="1"/>
        <v/>
      </c>
      <c r="F57" s="5">
        <f t="shared" si="2"/>
        <v>1.8020000000000001E-2</v>
      </c>
      <c r="G57" s="5" t="str">
        <f t="shared" si="3"/>
        <v>6.1</v>
      </c>
      <c r="H57" s="3" t="str">
        <f t="shared" si="4"/>
        <v>0</v>
      </c>
      <c r="J57" s="2" t="str">
        <f t="shared" si="5"/>
        <v/>
      </c>
      <c r="K57" s="2" t="str">
        <f t="shared" si="6"/>
        <v/>
      </c>
    </row>
    <row r="58" spans="1:11">
      <c r="A58" s="3">
        <f t="shared" si="7"/>
        <v>53</v>
      </c>
      <c r="C58" s="2"/>
      <c r="D58" s="1"/>
      <c r="E58" s="1" t="str">
        <f t="shared" si="1"/>
        <v/>
      </c>
      <c r="F58" s="5">
        <f t="shared" si="2"/>
        <v>1.8020000000000001E-2</v>
      </c>
      <c r="G58" s="5" t="str">
        <f t="shared" si="3"/>
        <v>6.1</v>
      </c>
      <c r="H58" s="3" t="str">
        <f t="shared" si="4"/>
        <v>0</v>
      </c>
      <c r="J58" s="2" t="str">
        <f t="shared" si="5"/>
        <v/>
      </c>
      <c r="K58" s="2" t="str">
        <f t="shared" si="6"/>
        <v/>
      </c>
    </row>
    <row r="59" spans="1:11">
      <c r="A59" s="3">
        <f t="shared" si="7"/>
        <v>54</v>
      </c>
      <c r="C59" s="2"/>
      <c r="D59" s="1"/>
      <c r="E59" s="1" t="str">
        <f t="shared" si="1"/>
        <v/>
      </c>
      <c r="F59" s="5">
        <f t="shared" si="2"/>
        <v>1.8020000000000001E-2</v>
      </c>
      <c r="G59" s="5" t="str">
        <f t="shared" si="3"/>
        <v>6.1</v>
      </c>
      <c r="H59" s="3" t="str">
        <f t="shared" si="4"/>
        <v>0</v>
      </c>
      <c r="J59" s="2" t="str">
        <f t="shared" si="5"/>
        <v/>
      </c>
      <c r="K59" s="2" t="str">
        <f t="shared" si="6"/>
        <v/>
      </c>
    </row>
    <row r="60" spans="1:11">
      <c r="A60" s="3">
        <f t="shared" si="7"/>
        <v>55</v>
      </c>
      <c r="C60" s="2"/>
      <c r="D60" s="1"/>
      <c r="E60" s="1" t="str">
        <f t="shared" si="1"/>
        <v/>
      </c>
      <c r="F60" s="5">
        <f t="shared" si="2"/>
        <v>1.8020000000000001E-2</v>
      </c>
      <c r="G60" s="5" t="str">
        <f t="shared" si="3"/>
        <v>6.1</v>
      </c>
      <c r="H60" s="3" t="str">
        <f t="shared" si="4"/>
        <v>0</v>
      </c>
      <c r="J60" s="2" t="str">
        <f t="shared" si="5"/>
        <v/>
      </c>
      <c r="K60" s="2" t="str">
        <f t="shared" si="6"/>
        <v/>
      </c>
    </row>
    <row r="61" spans="1:11">
      <c r="A61" s="3">
        <f t="shared" si="7"/>
        <v>56</v>
      </c>
      <c r="C61" s="2"/>
      <c r="D61" s="1"/>
      <c r="E61" s="1" t="str">
        <f t="shared" si="1"/>
        <v/>
      </c>
      <c r="F61" s="5">
        <f t="shared" si="2"/>
        <v>1.8020000000000001E-2</v>
      </c>
      <c r="G61" s="5" t="str">
        <f t="shared" si="3"/>
        <v>6.1</v>
      </c>
      <c r="H61" s="3" t="str">
        <f t="shared" si="4"/>
        <v>0</v>
      </c>
      <c r="J61" s="2" t="str">
        <f t="shared" si="5"/>
        <v/>
      </c>
      <c r="K61" s="2" t="str">
        <f t="shared" si="6"/>
        <v/>
      </c>
    </row>
    <row r="62" spans="1:11">
      <c r="A62" s="3">
        <f t="shared" si="7"/>
        <v>57</v>
      </c>
      <c r="C62" s="2"/>
      <c r="D62" s="1"/>
      <c r="E62" s="1" t="str">
        <f t="shared" si="1"/>
        <v/>
      </c>
      <c r="F62" s="5">
        <f t="shared" si="2"/>
        <v>1.8020000000000001E-2</v>
      </c>
      <c r="G62" s="5" t="str">
        <f t="shared" si="3"/>
        <v>6.1</v>
      </c>
      <c r="H62" s="3" t="str">
        <f t="shared" si="4"/>
        <v>0</v>
      </c>
      <c r="J62" s="2" t="str">
        <f t="shared" si="5"/>
        <v/>
      </c>
      <c r="K62" s="2" t="str">
        <f t="shared" si="6"/>
        <v/>
      </c>
    </row>
    <row r="63" spans="1:11">
      <c r="A63" s="3">
        <f t="shared" si="7"/>
        <v>58</v>
      </c>
      <c r="C63" s="2"/>
      <c r="D63" s="1"/>
      <c r="E63" s="1" t="str">
        <f t="shared" si="1"/>
        <v/>
      </c>
      <c r="F63" s="5">
        <f t="shared" si="2"/>
        <v>1.8020000000000001E-2</v>
      </c>
      <c r="G63" s="5" t="str">
        <f t="shared" si="3"/>
        <v>6.1</v>
      </c>
      <c r="H63" s="3" t="str">
        <f t="shared" si="4"/>
        <v>0</v>
      </c>
      <c r="J63" s="2" t="str">
        <f t="shared" si="5"/>
        <v/>
      </c>
      <c r="K63" s="2" t="str">
        <f t="shared" si="6"/>
        <v/>
      </c>
    </row>
    <row r="64" spans="1:11">
      <c r="A64" s="3">
        <f t="shared" si="7"/>
        <v>59</v>
      </c>
      <c r="C64" s="2"/>
      <c r="D64" s="1"/>
      <c r="E64" s="1" t="str">
        <f t="shared" si="1"/>
        <v/>
      </c>
      <c r="F64" s="5">
        <f t="shared" si="2"/>
        <v>1.8020000000000001E-2</v>
      </c>
      <c r="G64" s="5" t="str">
        <f t="shared" si="3"/>
        <v>6.1</v>
      </c>
      <c r="H64" s="3" t="str">
        <f t="shared" si="4"/>
        <v>0</v>
      </c>
      <c r="J64" s="2" t="str">
        <f t="shared" si="5"/>
        <v/>
      </c>
      <c r="K64" s="2" t="str">
        <f t="shared" si="6"/>
        <v/>
      </c>
    </row>
    <row r="65" spans="1:11">
      <c r="A65" s="3">
        <f t="shared" si="7"/>
        <v>60</v>
      </c>
      <c r="D65" s="1"/>
      <c r="E65" s="1" t="str">
        <f t="shared" si="1"/>
        <v/>
      </c>
      <c r="F65" s="5">
        <f t="shared" si="2"/>
        <v>1.8020000000000001E-2</v>
      </c>
      <c r="G65" s="5" t="str">
        <f t="shared" si="3"/>
        <v>6.1</v>
      </c>
      <c r="H65" s="3" t="str">
        <f t="shared" si="4"/>
        <v>0</v>
      </c>
      <c r="J65" s="2" t="str">
        <f t="shared" si="5"/>
        <v/>
      </c>
      <c r="K65" s="2" t="str">
        <f t="shared" si="6"/>
        <v/>
      </c>
    </row>
    <row r="66" spans="1:11">
      <c r="A66" s="3">
        <f t="shared" si="7"/>
        <v>61</v>
      </c>
      <c r="C66" s="2"/>
      <c r="D66" s="1"/>
      <c r="E66" s="1" t="str">
        <f t="shared" si="1"/>
        <v/>
      </c>
      <c r="F66" s="5">
        <f t="shared" si="2"/>
        <v>1.8020000000000001E-2</v>
      </c>
      <c r="G66" s="5" t="str">
        <f t="shared" si="3"/>
        <v>6.1</v>
      </c>
      <c r="H66" s="3" t="str">
        <f t="shared" si="4"/>
        <v>0</v>
      </c>
      <c r="J66" s="2" t="str">
        <f t="shared" si="5"/>
        <v/>
      </c>
      <c r="K66" s="2" t="str">
        <f t="shared" si="6"/>
        <v/>
      </c>
    </row>
    <row r="67" spans="1:11">
      <c r="A67" s="3">
        <f t="shared" si="7"/>
        <v>62</v>
      </c>
      <c r="C67" s="2"/>
      <c r="D67" s="1"/>
      <c r="E67" s="1" t="str">
        <f t="shared" si="1"/>
        <v/>
      </c>
      <c r="F67" s="5">
        <f t="shared" si="2"/>
        <v>1.8020000000000001E-2</v>
      </c>
      <c r="G67" s="5" t="str">
        <f t="shared" si="3"/>
        <v>6.1</v>
      </c>
      <c r="H67" s="3" t="str">
        <f t="shared" si="4"/>
        <v>0</v>
      </c>
      <c r="J67" s="2" t="str">
        <f t="shared" si="5"/>
        <v/>
      </c>
      <c r="K67" s="2" t="str">
        <f t="shared" si="6"/>
        <v/>
      </c>
    </row>
    <row r="68" spans="1:11">
      <c r="A68" s="3">
        <f t="shared" si="7"/>
        <v>63</v>
      </c>
      <c r="D68" s="1"/>
      <c r="E68" s="1" t="str">
        <f t="shared" si="1"/>
        <v/>
      </c>
      <c r="F68" s="5">
        <f t="shared" si="2"/>
        <v>1.8020000000000001E-2</v>
      </c>
      <c r="G68" s="5" t="str">
        <f t="shared" si="3"/>
        <v>6.1</v>
      </c>
      <c r="H68" s="3" t="str">
        <f t="shared" si="4"/>
        <v>0</v>
      </c>
      <c r="J68" s="2" t="str">
        <f t="shared" si="5"/>
        <v/>
      </c>
      <c r="K68" s="2" t="str">
        <f t="shared" si="6"/>
        <v/>
      </c>
    </row>
    <row r="69" spans="1:11">
      <c r="A69" s="3">
        <f t="shared" si="7"/>
        <v>64</v>
      </c>
      <c r="C69" s="2"/>
      <c r="D69" s="1"/>
      <c r="E69" s="1" t="str">
        <f t="shared" si="1"/>
        <v/>
      </c>
      <c r="F69" s="5">
        <f t="shared" si="2"/>
        <v>1.8020000000000001E-2</v>
      </c>
      <c r="G69" s="5" t="str">
        <f t="shared" si="3"/>
        <v>6.1</v>
      </c>
      <c r="H69" s="3" t="str">
        <f t="shared" si="4"/>
        <v>0</v>
      </c>
      <c r="J69" s="2" t="str">
        <f t="shared" si="5"/>
        <v/>
      </c>
      <c r="K69" s="2" t="str">
        <f t="shared" si="6"/>
        <v/>
      </c>
    </row>
    <row r="70" spans="1:11">
      <c r="A70" s="3">
        <f t="shared" si="7"/>
        <v>65</v>
      </c>
      <c r="C70" s="2"/>
      <c r="D70" s="1"/>
      <c r="E70" s="1" t="str">
        <f t="shared" si="1"/>
        <v/>
      </c>
      <c r="F70" s="5">
        <f t="shared" si="2"/>
        <v>1.8020000000000001E-2</v>
      </c>
      <c r="G70" s="5" t="str">
        <f t="shared" si="3"/>
        <v>6.1</v>
      </c>
      <c r="H70" s="3" t="str">
        <f t="shared" si="4"/>
        <v>0</v>
      </c>
      <c r="J70" s="2" t="str">
        <f t="shared" si="5"/>
        <v/>
      </c>
      <c r="K70" s="2" t="str">
        <f t="shared" si="6"/>
        <v/>
      </c>
    </row>
    <row r="71" spans="1:11">
      <c r="A71" s="3">
        <f t="shared" si="7"/>
        <v>66</v>
      </c>
      <c r="D71" s="1"/>
      <c r="E71" s="1" t="str">
        <f t="shared" ref="E71:E101" si="8">TranslateDNA(D71)</f>
        <v/>
      </c>
      <c r="F71" s="5">
        <f t="shared" ref="F71:F101" si="9">mw(E71)/1000</f>
        <v>1.8020000000000001E-2</v>
      </c>
      <c r="G71" s="5" t="str">
        <f t="shared" ref="G71:G101" si="10">ieP(E71)</f>
        <v>6.1</v>
      </c>
      <c r="H71" s="3" t="str">
        <f t="shared" ref="H71:H101" si="11">ExtCoeff(E71)</f>
        <v>0</v>
      </c>
      <c r="J71" s="2" t="str">
        <f t="shared" ref="J71:J101" si="12">foligo(D71)</f>
        <v/>
      </c>
      <c r="K71" s="2" t="str">
        <f t="shared" ref="K71:K101" si="13">rvoligo(D71)</f>
        <v/>
      </c>
    </row>
    <row r="72" spans="1:11">
      <c r="A72" s="3">
        <f t="shared" ref="A72:A101" si="14">A71+1</f>
        <v>67</v>
      </c>
      <c r="C72" s="2"/>
      <c r="D72" s="1"/>
      <c r="E72" s="1" t="str">
        <f t="shared" si="8"/>
        <v/>
      </c>
      <c r="F72" s="5">
        <f t="shared" si="9"/>
        <v>1.8020000000000001E-2</v>
      </c>
      <c r="G72" s="5" t="str">
        <f t="shared" si="10"/>
        <v>6.1</v>
      </c>
      <c r="H72" s="3" t="str">
        <f t="shared" si="11"/>
        <v>0</v>
      </c>
      <c r="J72" s="2" t="str">
        <f t="shared" si="12"/>
        <v/>
      </c>
      <c r="K72" s="2" t="str">
        <f t="shared" si="13"/>
        <v/>
      </c>
    </row>
    <row r="73" spans="1:11">
      <c r="A73" s="3">
        <f t="shared" si="14"/>
        <v>68</v>
      </c>
      <c r="C73" s="2"/>
      <c r="D73" s="1"/>
      <c r="E73" s="1" t="str">
        <f t="shared" si="8"/>
        <v/>
      </c>
      <c r="F73" s="5">
        <f t="shared" si="9"/>
        <v>1.8020000000000001E-2</v>
      </c>
      <c r="G73" s="5" t="str">
        <f t="shared" si="10"/>
        <v>6.1</v>
      </c>
      <c r="H73" s="3" t="str">
        <f t="shared" si="11"/>
        <v>0</v>
      </c>
      <c r="J73" s="2" t="str">
        <f t="shared" si="12"/>
        <v/>
      </c>
      <c r="K73" s="2" t="str">
        <f t="shared" si="13"/>
        <v/>
      </c>
    </row>
    <row r="74" spans="1:11">
      <c r="A74" s="3">
        <f t="shared" si="14"/>
        <v>69</v>
      </c>
      <c r="C74" s="2"/>
      <c r="D74" s="1"/>
      <c r="E74" s="1" t="str">
        <f t="shared" si="8"/>
        <v/>
      </c>
      <c r="F74" s="5">
        <f t="shared" si="9"/>
        <v>1.8020000000000001E-2</v>
      </c>
      <c r="G74" s="5" t="str">
        <f t="shared" si="10"/>
        <v>6.1</v>
      </c>
      <c r="H74" s="3" t="str">
        <f t="shared" si="11"/>
        <v>0</v>
      </c>
      <c r="J74" s="2" t="str">
        <f t="shared" si="12"/>
        <v/>
      </c>
      <c r="K74" s="2" t="str">
        <f t="shared" si="13"/>
        <v/>
      </c>
    </row>
    <row r="75" spans="1:11">
      <c r="A75" s="3">
        <f t="shared" si="14"/>
        <v>70</v>
      </c>
      <c r="C75" s="2"/>
      <c r="D75" s="1"/>
      <c r="E75" s="1" t="str">
        <f t="shared" si="8"/>
        <v/>
      </c>
      <c r="F75" s="5">
        <f t="shared" si="9"/>
        <v>1.8020000000000001E-2</v>
      </c>
      <c r="G75" s="5" t="str">
        <f t="shared" si="10"/>
        <v>6.1</v>
      </c>
      <c r="H75" s="3" t="str">
        <f t="shared" si="11"/>
        <v>0</v>
      </c>
      <c r="J75" s="2" t="str">
        <f t="shared" si="12"/>
        <v/>
      </c>
      <c r="K75" s="2" t="str">
        <f t="shared" si="13"/>
        <v/>
      </c>
    </row>
    <row r="76" spans="1:11">
      <c r="A76" s="3">
        <f t="shared" si="14"/>
        <v>71</v>
      </c>
      <c r="D76" s="1"/>
      <c r="E76" s="1" t="str">
        <f t="shared" si="8"/>
        <v/>
      </c>
      <c r="F76" s="5">
        <f t="shared" si="9"/>
        <v>1.8020000000000001E-2</v>
      </c>
      <c r="G76" s="5" t="str">
        <f t="shared" si="10"/>
        <v>6.1</v>
      </c>
      <c r="H76" s="3" t="str">
        <f t="shared" si="11"/>
        <v>0</v>
      </c>
      <c r="J76" s="2" t="str">
        <f t="shared" si="12"/>
        <v/>
      </c>
      <c r="K76" s="2" t="str">
        <f t="shared" si="13"/>
        <v/>
      </c>
    </row>
    <row r="77" spans="1:11">
      <c r="A77" s="3">
        <f t="shared" si="14"/>
        <v>72</v>
      </c>
      <c r="C77" s="2"/>
      <c r="D77" s="1"/>
      <c r="E77" s="1" t="str">
        <f t="shared" si="8"/>
        <v/>
      </c>
      <c r="F77" s="5">
        <f t="shared" si="9"/>
        <v>1.8020000000000001E-2</v>
      </c>
      <c r="G77" s="5" t="str">
        <f t="shared" si="10"/>
        <v>6.1</v>
      </c>
      <c r="H77" s="3" t="str">
        <f t="shared" si="11"/>
        <v>0</v>
      </c>
      <c r="J77" s="2" t="str">
        <f t="shared" si="12"/>
        <v/>
      </c>
      <c r="K77" s="2" t="str">
        <f t="shared" si="13"/>
        <v/>
      </c>
    </row>
    <row r="78" spans="1:11">
      <c r="A78" s="3">
        <f t="shared" si="14"/>
        <v>73</v>
      </c>
      <c r="C78" s="2"/>
      <c r="D78" s="1"/>
      <c r="E78" s="1" t="str">
        <f t="shared" si="8"/>
        <v/>
      </c>
      <c r="F78" s="5">
        <f t="shared" si="9"/>
        <v>1.8020000000000001E-2</v>
      </c>
      <c r="G78" s="5" t="str">
        <f t="shared" si="10"/>
        <v>6.1</v>
      </c>
      <c r="H78" s="3" t="str">
        <f t="shared" si="11"/>
        <v>0</v>
      </c>
      <c r="J78" s="2" t="str">
        <f t="shared" si="12"/>
        <v/>
      </c>
      <c r="K78" s="2" t="str">
        <f t="shared" si="13"/>
        <v/>
      </c>
    </row>
    <row r="79" spans="1:11">
      <c r="A79" s="3">
        <f t="shared" si="14"/>
        <v>74</v>
      </c>
      <c r="D79" s="1"/>
      <c r="E79" s="1" t="str">
        <f t="shared" si="8"/>
        <v/>
      </c>
      <c r="F79" s="5">
        <f t="shared" si="9"/>
        <v>1.8020000000000001E-2</v>
      </c>
      <c r="G79" s="5" t="str">
        <f t="shared" si="10"/>
        <v>6.1</v>
      </c>
      <c r="H79" s="3" t="str">
        <f t="shared" si="11"/>
        <v>0</v>
      </c>
      <c r="J79" s="2" t="str">
        <f t="shared" si="12"/>
        <v/>
      </c>
      <c r="K79" s="2" t="str">
        <f t="shared" si="13"/>
        <v/>
      </c>
    </row>
    <row r="80" spans="1:11">
      <c r="A80" s="3">
        <f t="shared" si="14"/>
        <v>75</v>
      </c>
      <c r="C80" s="7"/>
      <c r="D80" s="7"/>
      <c r="E80" s="1" t="str">
        <f t="shared" si="8"/>
        <v/>
      </c>
      <c r="F80" s="5">
        <f t="shared" si="9"/>
        <v>1.8020000000000001E-2</v>
      </c>
      <c r="G80" s="5" t="str">
        <f t="shared" si="10"/>
        <v>6.1</v>
      </c>
      <c r="H80" s="3" t="str">
        <f t="shared" si="11"/>
        <v>0</v>
      </c>
      <c r="J80" s="2" t="str">
        <f t="shared" si="12"/>
        <v/>
      </c>
      <c r="K80" s="2" t="str">
        <f t="shared" si="13"/>
        <v/>
      </c>
    </row>
    <row r="81" spans="1:11">
      <c r="A81" s="3">
        <f t="shared" si="14"/>
        <v>76</v>
      </c>
      <c r="C81" s="7"/>
      <c r="D81" s="7"/>
      <c r="E81" s="1" t="str">
        <f t="shared" si="8"/>
        <v/>
      </c>
      <c r="F81" s="5">
        <f t="shared" si="9"/>
        <v>1.8020000000000001E-2</v>
      </c>
      <c r="G81" s="5" t="str">
        <f t="shared" si="10"/>
        <v>6.1</v>
      </c>
      <c r="H81" s="3" t="str">
        <f t="shared" si="11"/>
        <v>0</v>
      </c>
      <c r="J81" s="2" t="str">
        <f t="shared" si="12"/>
        <v/>
      </c>
      <c r="K81" s="2" t="str">
        <f t="shared" si="13"/>
        <v/>
      </c>
    </row>
    <row r="82" spans="1:11">
      <c r="A82" s="3">
        <f t="shared" si="14"/>
        <v>77</v>
      </c>
      <c r="C82" s="7"/>
      <c r="D82" s="7"/>
      <c r="E82" s="1" t="str">
        <f t="shared" si="8"/>
        <v/>
      </c>
      <c r="F82" s="5">
        <f t="shared" si="9"/>
        <v>1.8020000000000001E-2</v>
      </c>
      <c r="G82" s="5" t="str">
        <f t="shared" si="10"/>
        <v>6.1</v>
      </c>
      <c r="H82" s="3" t="str">
        <f t="shared" si="11"/>
        <v>0</v>
      </c>
      <c r="J82" s="2" t="str">
        <f t="shared" si="12"/>
        <v/>
      </c>
      <c r="K82" s="2" t="str">
        <f t="shared" si="13"/>
        <v/>
      </c>
    </row>
    <row r="83" spans="1:11">
      <c r="A83" s="3">
        <f t="shared" si="14"/>
        <v>78</v>
      </c>
      <c r="C83" s="2"/>
      <c r="D83" s="1"/>
      <c r="E83" s="1" t="str">
        <f t="shared" si="8"/>
        <v/>
      </c>
      <c r="F83" s="5">
        <f t="shared" si="9"/>
        <v>1.8020000000000001E-2</v>
      </c>
      <c r="G83" s="5" t="str">
        <f t="shared" si="10"/>
        <v>6.1</v>
      </c>
      <c r="H83" s="3" t="str">
        <f t="shared" si="11"/>
        <v>0</v>
      </c>
      <c r="J83" s="2" t="str">
        <f t="shared" si="12"/>
        <v/>
      </c>
      <c r="K83" s="2" t="str">
        <f t="shared" si="13"/>
        <v/>
      </c>
    </row>
    <row r="84" spans="1:11">
      <c r="A84" s="3">
        <f t="shared" si="14"/>
        <v>79</v>
      </c>
      <c r="C84" s="2"/>
      <c r="D84" s="1"/>
      <c r="E84" s="1" t="str">
        <f t="shared" si="8"/>
        <v/>
      </c>
      <c r="F84" s="5">
        <f t="shared" si="9"/>
        <v>1.8020000000000001E-2</v>
      </c>
      <c r="G84" s="5" t="str">
        <f t="shared" si="10"/>
        <v>6.1</v>
      </c>
      <c r="H84" s="3" t="str">
        <f t="shared" si="11"/>
        <v>0</v>
      </c>
      <c r="J84" s="2" t="str">
        <f t="shared" si="12"/>
        <v/>
      </c>
      <c r="K84" s="2" t="str">
        <f t="shared" si="13"/>
        <v/>
      </c>
    </row>
    <row r="85" spans="1:11">
      <c r="A85" s="3">
        <f t="shared" si="14"/>
        <v>80</v>
      </c>
      <c r="C85" s="2"/>
      <c r="D85" s="1"/>
      <c r="E85" s="1" t="str">
        <f t="shared" si="8"/>
        <v/>
      </c>
      <c r="F85" s="5">
        <f t="shared" si="9"/>
        <v>1.8020000000000001E-2</v>
      </c>
      <c r="G85" s="5" t="str">
        <f t="shared" si="10"/>
        <v>6.1</v>
      </c>
      <c r="H85" s="3" t="str">
        <f t="shared" si="11"/>
        <v>0</v>
      </c>
      <c r="J85" s="2" t="str">
        <f t="shared" si="12"/>
        <v/>
      </c>
      <c r="K85" s="2" t="str">
        <f t="shared" si="13"/>
        <v/>
      </c>
    </row>
    <row r="86" spans="1:11">
      <c r="A86" s="3">
        <f t="shared" si="14"/>
        <v>81</v>
      </c>
      <c r="C86" s="8"/>
      <c r="D86" s="1"/>
      <c r="E86" s="1" t="str">
        <f t="shared" si="8"/>
        <v/>
      </c>
      <c r="F86" s="5">
        <f t="shared" si="9"/>
        <v>1.8020000000000001E-2</v>
      </c>
      <c r="G86" s="5" t="str">
        <f t="shared" si="10"/>
        <v>6.1</v>
      </c>
      <c r="H86" s="3" t="str">
        <f t="shared" si="11"/>
        <v>0</v>
      </c>
      <c r="J86" s="2" t="str">
        <f t="shared" si="12"/>
        <v/>
      </c>
      <c r="K86" s="2" t="str">
        <f t="shared" si="13"/>
        <v/>
      </c>
    </row>
    <row r="87" spans="1:11">
      <c r="A87" s="3">
        <f t="shared" si="14"/>
        <v>82</v>
      </c>
      <c r="C87" s="2"/>
      <c r="D87" s="1"/>
      <c r="E87" s="1" t="str">
        <f t="shared" si="8"/>
        <v/>
      </c>
      <c r="F87" s="5">
        <f t="shared" si="9"/>
        <v>1.8020000000000001E-2</v>
      </c>
      <c r="G87" s="5" t="str">
        <f t="shared" si="10"/>
        <v>6.1</v>
      </c>
      <c r="H87" s="3" t="str">
        <f t="shared" si="11"/>
        <v>0</v>
      </c>
      <c r="J87" s="2" t="str">
        <f t="shared" si="12"/>
        <v/>
      </c>
      <c r="K87" s="2" t="str">
        <f t="shared" si="13"/>
        <v/>
      </c>
    </row>
    <row r="88" spans="1:11">
      <c r="A88" s="3">
        <f t="shared" si="14"/>
        <v>83</v>
      </c>
      <c r="C88" s="2"/>
      <c r="D88" s="1"/>
      <c r="E88" s="1" t="str">
        <f t="shared" si="8"/>
        <v/>
      </c>
      <c r="F88" s="5">
        <f t="shared" si="9"/>
        <v>1.8020000000000001E-2</v>
      </c>
      <c r="G88" s="5" t="str">
        <f t="shared" si="10"/>
        <v>6.1</v>
      </c>
      <c r="H88" s="3" t="str">
        <f t="shared" si="11"/>
        <v>0</v>
      </c>
      <c r="J88" s="2" t="str">
        <f t="shared" si="12"/>
        <v/>
      </c>
      <c r="K88" s="2" t="str">
        <f t="shared" si="13"/>
        <v/>
      </c>
    </row>
    <row r="89" spans="1:11">
      <c r="A89" s="3">
        <f t="shared" si="14"/>
        <v>84</v>
      </c>
      <c r="C89" s="2"/>
      <c r="D89" s="1"/>
      <c r="E89" s="1" t="str">
        <f t="shared" si="8"/>
        <v/>
      </c>
      <c r="F89" s="5">
        <f t="shared" si="9"/>
        <v>1.8020000000000001E-2</v>
      </c>
      <c r="G89" s="5" t="str">
        <f t="shared" si="10"/>
        <v>6.1</v>
      </c>
      <c r="H89" s="3" t="str">
        <f t="shared" si="11"/>
        <v>0</v>
      </c>
      <c r="J89" s="2" t="str">
        <f t="shared" si="12"/>
        <v/>
      </c>
      <c r="K89" s="2" t="str">
        <f t="shared" si="13"/>
        <v/>
      </c>
    </row>
    <row r="90" spans="1:11">
      <c r="A90" s="3">
        <f t="shared" si="14"/>
        <v>85</v>
      </c>
      <c r="C90" s="2"/>
      <c r="D90" s="1"/>
      <c r="E90" s="1" t="str">
        <f t="shared" si="8"/>
        <v/>
      </c>
      <c r="F90" s="5">
        <f t="shared" si="9"/>
        <v>1.8020000000000001E-2</v>
      </c>
      <c r="G90" s="5" t="str">
        <f t="shared" si="10"/>
        <v>6.1</v>
      </c>
      <c r="H90" s="3" t="str">
        <f t="shared" si="11"/>
        <v>0</v>
      </c>
      <c r="J90" s="2" t="str">
        <f t="shared" si="12"/>
        <v/>
      </c>
      <c r="K90" s="2" t="str">
        <f t="shared" si="13"/>
        <v/>
      </c>
    </row>
    <row r="91" spans="1:11">
      <c r="A91" s="3">
        <f t="shared" si="14"/>
        <v>86</v>
      </c>
      <c r="C91" s="2"/>
      <c r="D91" s="1"/>
      <c r="E91" s="1" t="str">
        <f t="shared" si="8"/>
        <v/>
      </c>
      <c r="F91" s="5">
        <f t="shared" si="9"/>
        <v>1.8020000000000001E-2</v>
      </c>
      <c r="G91" s="5" t="str">
        <f t="shared" si="10"/>
        <v>6.1</v>
      </c>
      <c r="H91" s="3" t="str">
        <f t="shared" si="11"/>
        <v>0</v>
      </c>
      <c r="J91" s="2" t="str">
        <f t="shared" si="12"/>
        <v/>
      </c>
      <c r="K91" s="2" t="str">
        <f t="shared" si="13"/>
        <v/>
      </c>
    </row>
    <row r="92" spans="1:11">
      <c r="A92" s="3">
        <f t="shared" si="14"/>
        <v>87</v>
      </c>
      <c r="C92" s="7"/>
      <c r="D92" s="7"/>
      <c r="E92" s="1" t="str">
        <f t="shared" si="8"/>
        <v/>
      </c>
      <c r="F92" s="5">
        <f t="shared" si="9"/>
        <v>1.8020000000000001E-2</v>
      </c>
      <c r="G92" s="5" t="str">
        <f t="shared" si="10"/>
        <v>6.1</v>
      </c>
      <c r="H92" s="3" t="str">
        <f t="shared" si="11"/>
        <v>0</v>
      </c>
      <c r="J92" s="2" t="str">
        <f t="shared" si="12"/>
        <v/>
      </c>
      <c r="K92" s="2" t="str">
        <f t="shared" si="13"/>
        <v/>
      </c>
    </row>
    <row r="93" spans="1:11">
      <c r="A93" s="3">
        <f t="shared" si="14"/>
        <v>88</v>
      </c>
      <c r="C93" s="7"/>
      <c r="D93" s="7"/>
      <c r="E93" s="1" t="str">
        <f t="shared" si="8"/>
        <v/>
      </c>
      <c r="F93" s="5">
        <f t="shared" si="9"/>
        <v>1.8020000000000001E-2</v>
      </c>
      <c r="G93" s="5" t="str">
        <f t="shared" si="10"/>
        <v>6.1</v>
      </c>
      <c r="H93" s="3" t="str">
        <f t="shared" si="11"/>
        <v>0</v>
      </c>
      <c r="J93" s="2" t="str">
        <f t="shared" si="12"/>
        <v/>
      </c>
      <c r="K93" s="2" t="str">
        <f t="shared" si="13"/>
        <v/>
      </c>
    </row>
    <row r="94" spans="1:11">
      <c r="A94" s="3">
        <f t="shared" si="14"/>
        <v>89</v>
      </c>
      <c r="C94" s="2"/>
      <c r="D94" s="1"/>
      <c r="E94" s="1" t="str">
        <f t="shared" si="8"/>
        <v/>
      </c>
      <c r="F94" s="5">
        <f t="shared" si="9"/>
        <v>1.8020000000000001E-2</v>
      </c>
      <c r="G94" s="5" t="str">
        <f t="shared" si="10"/>
        <v>6.1</v>
      </c>
      <c r="H94" s="3" t="str">
        <f t="shared" si="11"/>
        <v>0</v>
      </c>
      <c r="J94" s="2" t="str">
        <f t="shared" si="12"/>
        <v/>
      </c>
      <c r="K94" s="2" t="str">
        <f t="shared" si="13"/>
        <v/>
      </c>
    </row>
    <row r="95" spans="1:11">
      <c r="A95" s="3">
        <f t="shared" si="14"/>
        <v>90</v>
      </c>
      <c r="C95" s="2"/>
      <c r="D95" s="1"/>
      <c r="E95" s="1" t="str">
        <f t="shared" si="8"/>
        <v/>
      </c>
      <c r="F95" s="5">
        <f t="shared" si="9"/>
        <v>1.8020000000000001E-2</v>
      </c>
      <c r="G95" s="5" t="str">
        <f t="shared" si="10"/>
        <v>6.1</v>
      </c>
      <c r="H95" s="3" t="str">
        <f t="shared" si="11"/>
        <v>0</v>
      </c>
      <c r="J95" s="2" t="str">
        <f t="shared" si="12"/>
        <v/>
      </c>
      <c r="K95" s="2" t="str">
        <f t="shared" si="13"/>
        <v/>
      </c>
    </row>
    <row r="96" spans="1:11">
      <c r="A96" s="3">
        <f t="shared" si="14"/>
        <v>91</v>
      </c>
      <c r="C96" s="2"/>
      <c r="D96" s="1"/>
      <c r="E96" s="1" t="str">
        <f t="shared" si="8"/>
        <v/>
      </c>
      <c r="F96" s="5">
        <f t="shared" si="9"/>
        <v>1.8020000000000001E-2</v>
      </c>
      <c r="G96" s="5" t="str">
        <f t="shared" si="10"/>
        <v>6.1</v>
      </c>
      <c r="H96" s="3" t="str">
        <f t="shared" si="11"/>
        <v>0</v>
      </c>
      <c r="J96" s="2" t="str">
        <f t="shared" si="12"/>
        <v/>
      </c>
      <c r="K96" s="2" t="str">
        <f t="shared" si="13"/>
        <v/>
      </c>
    </row>
    <row r="97" spans="1:11">
      <c r="A97" s="3">
        <f t="shared" si="14"/>
        <v>92</v>
      </c>
      <c r="C97" s="2"/>
      <c r="D97" s="1"/>
      <c r="E97" s="1" t="str">
        <f t="shared" si="8"/>
        <v/>
      </c>
      <c r="F97" s="5">
        <f t="shared" si="9"/>
        <v>1.8020000000000001E-2</v>
      </c>
      <c r="G97" s="5" t="str">
        <f t="shared" si="10"/>
        <v>6.1</v>
      </c>
      <c r="H97" s="3" t="str">
        <f t="shared" si="11"/>
        <v>0</v>
      </c>
      <c r="J97" s="2" t="str">
        <f t="shared" si="12"/>
        <v/>
      </c>
      <c r="K97" s="2" t="str">
        <f t="shared" si="13"/>
        <v/>
      </c>
    </row>
    <row r="98" spans="1:11">
      <c r="A98" s="3">
        <f t="shared" si="14"/>
        <v>93</v>
      </c>
      <c r="C98" s="2"/>
      <c r="D98" s="1"/>
      <c r="E98" s="1" t="str">
        <f t="shared" si="8"/>
        <v/>
      </c>
      <c r="F98" s="5">
        <f t="shared" si="9"/>
        <v>1.8020000000000001E-2</v>
      </c>
      <c r="G98" s="5" t="str">
        <f t="shared" si="10"/>
        <v>6.1</v>
      </c>
      <c r="H98" s="3" t="str">
        <f t="shared" si="11"/>
        <v>0</v>
      </c>
      <c r="J98" s="2" t="str">
        <f t="shared" si="12"/>
        <v/>
      </c>
      <c r="K98" s="2" t="str">
        <f t="shared" si="13"/>
        <v/>
      </c>
    </row>
    <row r="99" spans="1:11">
      <c r="A99" s="3">
        <f t="shared" si="14"/>
        <v>94</v>
      </c>
      <c r="C99" s="2"/>
      <c r="D99" s="1"/>
      <c r="E99" s="1" t="str">
        <f t="shared" si="8"/>
        <v/>
      </c>
      <c r="F99" s="5">
        <f t="shared" si="9"/>
        <v>1.8020000000000001E-2</v>
      </c>
      <c r="G99" s="5" t="str">
        <f t="shared" si="10"/>
        <v>6.1</v>
      </c>
      <c r="H99" s="3" t="str">
        <f t="shared" si="11"/>
        <v>0</v>
      </c>
      <c r="J99" s="2" t="str">
        <f t="shared" si="12"/>
        <v/>
      </c>
      <c r="K99" s="2" t="str">
        <f t="shared" si="13"/>
        <v/>
      </c>
    </row>
    <row r="100" spans="1:11">
      <c r="A100" s="3">
        <f t="shared" si="14"/>
        <v>95</v>
      </c>
      <c r="D100" s="1"/>
      <c r="E100" s="1" t="str">
        <f t="shared" si="8"/>
        <v/>
      </c>
      <c r="F100" s="5">
        <f t="shared" si="9"/>
        <v>1.8020000000000001E-2</v>
      </c>
      <c r="G100" s="5" t="str">
        <f t="shared" si="10"/>
        <v>6.1</v>
      </c>
      <c r="H100" s="3" t="str">
        <f t="shared" si="11"/>
        <v>0</v>
      </c>
      <c r="J100" s="2" t="str">
        <f t="shared" si="12"/>
        <v/>
      </c>
      <c r="K100" s="2" t="str">
        <f t="shared" si="13"/>
        <v/>
      </c>
    </row>
    <row r="101" spans="1:11">
      <c r="A101" s="3">
        <f t="shared" si="14"/>
        <v>96</v>
      </c>
      <c r="D101" s="1"/>
      <c r="E101" s="1" t="str">
        <f t="shared" si="8"/>
        <v/>
      </c>
      <c r="F101" s="5">
        <f t="shared" si="9"/>
        <v>1.8020000000000001E-2</v>
      </c>
      <c r="G101" s="5" t="str">
        <f t="shared" si="10"/>
        <v>6.1</v>
      </c>
      <c r="H101" s="3" t="str">
        <f t="shared" si="11"/>
        <v>0</v>
      </c>
      <c r="J101" s="2" t="str">
        <f t="shared" si="12"/>
        <v/>
      </c>
      <c r="K101" s="2" t="str">
        <f t="shared" si="13"/>
        <v/>
      </c>
    </row>
    <row r="102" spans="1:11">
      <c r="D102" s="1"/>
    </row>
    <row r="103" spans="1:11">
      <c r="D103" s="1"/>
    </row>
    <row r="104" spans="1:11">
      <c r="D104" s="1"/>
    </row>
    <row r="105" spans="1:11">
      <c r="D105" s="1"/>
    </row>
    <row r="106" spans="1:11">
      <c r="D106" s="1"/>
    </row>
    <row r="107" spans="1:11">
      <c r="D107" s="1"/>
    </row>
    <row r="108" spans="1:11">
      <c r="D108" s="1"/>
    </row>
    <row r="109" spans="1:11">
      <c r="D109" s="1"/>
    </row>
    <row r="110" spans="1:11">
      <c r="D110" s="1"/>
    </row>
    <row r="111" spans="1:11">
      <c r="D111" s="1"/>
    </row>
    <row r="112" spans="1:11">
      <c r="D112" s="1"/>
    </row>
    <row r="113" spans="4:4">
      <c r="D113" s="1"/>
    </row>
    <row r="114" spans="4:4">
      <c r="D114" s="1"/>
    </row>
    <row r="115" spans="4:4">
      <c r="D115" s="1"/>
    </row>
    <row r="116" spans="4:4">
      <c r="D116" s="1"/>
    </row>
    <row r="117" spans="4:4">
      <c r="D117" s="1"/>
    </row>
    <row r="118" spans="4:4">
      <c r="D118" s="1"/>
    </row>
    <row r="119" spans="4:4">
      <c r="D119" s="1"/>
    </row>
    <row r="120" spans="4:4">
      <c r="D120" s="1"/>
    </row>
    <row r="121" spans="4:4">
      <c r="D121" s="1"/>
    </row>
    <row r="122" spans="4:4">
      <c r="D122" s="1"/>
    </row>
    <row r="123" spans="4:4">
      <c r="D123" s="1"/>
    </row>
    <row r="124" spans="4:4">
      <c r="D124" s="1"/>
    </row>
    <row r="125" spans="4:4">
      <c r="D125" s="1"/>
    </row>
    <row r="126" spans="4:4">
      <c r="D126" s="1"/>
    </row>
    <row r="127" spans="4:4">
      <c r="D127" s="1"/>
    </row>
    <row r="128" spans="4:4">
      <c r="D128" s="1"/>
    </row>
    <row r="129" spans="4:4">
      <c r="D129" s="1"/>
    </row>
    <row r="130" spans="4:4">
      <c r="D130" s="1"/>
    </row>
    <row r="131" spans="4:4">
      <c r="D131" s="1"/>
    </row>
    <row r="132" spans="4:4">
      <c r="D132" s="1"/>
    </row>
    <row r="133" spans="4:4">
      <c r="D133" s="1"/>
    </row>
    <row r="134" spans="4:4">
      <c r="D134" s="1"/>
    </row>
    <row r="135" spans="4:4">
      <c r="D135" s="1"/>
    </row>
    <row r="136" spans="4:4">
      <c r="D136" s="1"/>
    </row>
    <row r="137" spans="4:4">
      <c r="D137" s="1"/>
    </row>
    <row r="138" spans="4:4">
      <c r="D138" s="1"/>
    </row>
    <row r="139" spans="4:4">
      <c r="D139" s="1"/>
    </row>
    <row r="140" spans="4:4">
      <c r="D140" s="1"/>
    </row>
    <row r="141" spans="4:4">
      <c r="D141" s="1"/>
    </row>
    <row r="142" spans="4:4">
      <c r="D142" s="1"/>
    </row>
    <row r="143" spans="4:4">
      <c r="D143" s="1"/>
    </row>
    <row r="144" spans="4:4">
      <c r="D144" s="1"/>
    </row>
    <row r="145" spans="4:4">
      <c r="D145" s="1"/>
    </row>
    <row r="146" spans="4:4">
      <c r="D146" s="1"/>
    </row>
    <row r="147" spans="4:4">
      <c r="D147" s="1"/>
    </row>
    <row r="148" spans="4:4">
      <c r="D148" s="1"/>
    </row>
    <row r="149" spans="4:4">
      <c r="D149" s="1"/>
    </row>
    <row r="150" spans="4:4">
      <c r="D150" s="1"/>
    </row>
    <row r="151" spans="4:4">
      <c r="D151" s="1"/>
    </row>
    <row r="152" spans="4:4">
      <c r="D152" s="1"/>
    </row>
    <row r="153" spans="4:4">
      <c r="D153" s="1"/>
    </row>
    <row r="154" spans="4:4">
      <c r="D154" s="1"/>
    </row>
    <row r="155" spans="4:4">
      <c r="D155" s="1"/>
    </row>
    <row r="156" spans="4:4">
      <c r="D156" s="1"/>
    </row>
    <row r="157" spans="4:4">
      <c r="D157" s="1"/>
    </row>
    <row r="158" spans="4:4">
      <c r="D158" s="1"/>
    </row>
    <row r="159" spans="4:4">
      <c r="D159" s="1"/>
    </row>
    <row r="160" spans="4:4">
      <c r="D160" s="1"/>
    </row>
    <row r="161" spans="4:4">
      <c r="D161" s="1"/>
    </row>
    <row r="162" spans="4:4">
      <c r="D162" s="1"/>
    </row>
    <row r="163" spans="4:4">
      <c r="D163" s="1"/>
    </row>
    <row r="164" spans="4:4">
      <c r="D164" s="1"/>
    </row>
    <row r="165" spans="4:4">
      <c r="D165" s="1"/>
    </row>
    <row r="166" spans="4:4">
      <c r="D166" s="1"/>
    </row>
    <row r="167" spans="4:4">
      <c r="D167" s="1"/>
    </row>
    <row r="168" spans="4:4">
      <c r="D168" s="1"/>
    </row>
    <row r="169" spans="4:4">
      <c r="D169" s="1"/>
    </row>
    <row r="170" spans="4:4">
      <c r="D170" s="1"/>
    </row>
    <row r="171" spans="4:4">
      <c r="D171" s="1"/>
    </row>
    <row r="172" spans="4:4">
      <c r="D172" s="1"/>
    </row>
    <row r="173" spans="4:4">
      <c r="D173" s="1"/>
    </row>
    <row r="174" spans="4:4">
      <c r="D174" s="1"/>
    </row>
    <row r="175" spans="4:4">
      <c r="D175" s="1"/>
    </row>
    <row r="176" spans="4:4">
      <c r="D176" s="1"/>
    </row>
    <row r="177" spans="4:4">
      <c r="D177" s="1"/>
    </row>
    <row r="178" spans="4:4">
      <c r="D178" s="1"/>
    </row>
    <row r="179" spans="4:4">
      <c r="D179" s="1"/>
    </row>
    <row r="180" spans="4:4">
      <c r="D180" s="1"/>
    </row>
    <row r="181" spans="4:4">
      <c r="D181" s="1"/>
    </row>
    <row r="182" spans="4:4">
      <c r="D182" s="1"/>
    </row>
    <row r="183" spans="4:4">
      <c r="D183" s="1"/>
    </row>
    <row r="184" spans="4:4">
      <c r="D184" s="1"/>
    </row>
    <row r="185" spans="4:4">
      <c r="D185" s="1"/>
    </row>
    <row r="186" spans="4:4">
      <c r="D186" s="1"/>
    </row>
    <row r="187" spans="4:4">
      <c r="D187" s="1"/>
    </row>
    <row r="188" spans="4:4">
      <c r="D188" s="1"/>
    </row>
    <row r="189" spans="4:4">
      <c r="D189" s="1"/>
    </row>
    <row r="190" spans="4:4">
      <c r="D190" s="1"/>
    </row>
    <row r="191" spans="4:4">
      <c r="D191" s="1"/>
    </row>
    <row r="192" spans="4:4">
      <c r="D192" s="1"/>
    </row>
    <row r="193" spans="4:4">
      <c r="D193" s="1"/>
    </row>
    <row r="194" spans="4:4">
      <c r="D194" s="1"/>
    </row>
    <row r="195" spans="4:4">
      <c r="D195" s="1"/>
    </row>
    <row r="196" spans="4:4">
      <c r="D196" s="1"/>
    </row>
    <row r="197" spans="4:4">
      <c r="D197" s="1"/>
    </row>
    <row r="198" spans="4:4">
      <c r="D198" s="1"/>
    </row>
    <row r="199" spans="4:4">
      <c r="D199" s="1"/>
    </row>
    <row r="200" spans="4:4">
      <c r="D200" s="1"/>
    </row>
    <row r="201" spans="4:4">
      <c r="D201" s="1"/>
    </row>
    <row r="202" spans="4:4">
      <c r="D202" s="1"/>
    </row>
    <row r="203" spans="4:4">
      <c r="D203" s="1"/>
    </row>
    <row r="204" spans="4:4">
      <c r="D204" s="1"/>
    </row>
    <row r="205" spans="4:4">
      <c r="D205" s="1"/>
    </row>
    <row r="206" spans="4:4">
      <c r="D206" s="1"/>
    </row>
    <row r="207" spans="4:4">
      <c r="D207" s="1"/>
    </row>
    <row r="208" spans="4:4">
      <c r="D208" s="1"/>
    </row>
    <row r="209" spans="4:4">
      <c r="D209" s="1"/>
    </row>
    <row r="210" spans="4:4">
      <c r="D210" s="1"/>
    </row>
    <row r="211" spans="4:4">
      <c r="D211" s="1"/>
    </row>
    <row r="212" spans="4:4">
      <c r="D212" s="1"/>
    </row>
    <row r="213" spans="4:4">
      <c r="D213" s="1"/>
    </row>
    <row r="214" spans="4:4">
      <c r="D214" s="1"/>
    </row>
    <row r="215" spans="4:4">
      <c r="D215" s="1"/>
    </row>
    <row r="216" spans="4:4">
      <c r="D216" s="1"/>
    </row>
    <row r="217" spans="4:4">
      <c r="D217" s="1"/>
    </row>
    <row r="218" spans="4:4">
      <c r="D218" s="1"/>
    </row>
    <row r="219" spans="4:4">
      <c r="D219" s="1"/>
    </row>
    <row r="220" spans="4:4">
      <c r="D220" s="1"/>
    </row>
    <row r="221" spans="4:4">
      <c r="D221" s="1"/>
    </row>
    <row r="222" spans="4:4">
      <c r="D222" s="1"/>
    </row>
    <row r="223" spans="4:4">
      <c r="D223" s="1"/>
    </row>
    <row r="224" spans="4:4">
      <c r="D224" s="1"/>
    </row>
    <row r="225" spans="4:4">
      <c r="D225" s="1"/>
    </row>
    <row r="226" spans="4:4">
      <c r="D226" s="1"/>
    </row>
    <row r="227" spans="4:4">
      <c r="D227" s="1"/>
    </row>
    <row r="228" spans="4:4">
      <c r="D228" s="1"/>
    </row>
    <row r="229" spans="4:4">
      <c r="D229" s="1"/>
    </row>
    <row r="230" spans="4:4">
      <c r="D230" s="1"/>
    </row>
    <row r="231" spans="4:4">
      <c r="D231" s="1"/>
    </row>
    <row r="232" spans="4:4">
      <c r="D232" s="1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  <row r="237" spans="4:4">
      <c r="D237" s="1"/>
    </row>
    <row r="238" spans="4:4">
      <c r="D238" s="1"/>
    </row>
    <row r="239" spans="4:4">
      <c r="D239" s="1"/>
    </row>
    <row r="240" spans="4:4">
      <c r="D240" s="1"/>
    </row>
    <row r="241" spans="4:4">
      <c r="D241" s="1"/>
    </row>
    <row r="242" spans="4:4">
      <c r="D242" s="1"/>
    </row>
    <row r="243" spans="4:4">
      <c r="D243" s="1"/>
    </row>
    <row r="244" spans="4:4">
      <c r="D244" s="1"/>
    </row>
    <row r="245" spans="4:4">
      <c r="D245" s="1"/>
    </row>
    <row r="246" spans="4:4">
      <c r="D246" s="1"/>
    </row>
    <row r="247" spans="4:4">
      <c r="D247" s="1"/>
    </row>
    <row r="248" spans="4:4">
      <c r="D248" s="1"/>
    </row>
    <row r="249" spans="4:4">
      <c r="D249" s="1"/>
    </row>
    <row r="250" spans="4:4">
      <c r="D250" s="1"/>
    </row>
    <row r="251" spans="4:4">
      <c r="D251" s="1"/>
    </row>
    <row r="252" spans="4:4">
      <c r="D252" s="1"/>
    </row>
    <row r="253" spans="4:4">
      <c r="D253" s="1"/>
    </row>
    <row r="254" spans="4:4">
      <c r="D254" s="1"/>
    </row>
    <row r="255" spans="4:4">
      <c r="D255" s="1"/>
    </row>
    <row r="256" spans="4:4">
      <c r="D256" s="1"/>
    </row>
    <row r="257" spans="4:4">
      <c r="D257" s="1"/>
    </row>
    <row r="258" spans="4:4">
      <c r="D258" s="1"/>
    </row>
    <row r="259" spans="4:4">
      <c r="D259" s="1"/>
    </row>
    <row r="260" spans="4:4">
      <c r="D260" s="1"/>
    </row>
    <row r="261" spans="4:4">
      <c r="D261" s="1"/>
    </row>
    <row r="262" spans="4:4">
      <c r="D262" s="1"/>
    </row>
    <row r="263" spans="4:4">
      <c r="D263" s="1"/>
    </row>
  </sheetData>
  <sortState ref="B2:H23">
    <sortCondition ref="C2:C23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Gradia</dc:creator>
  <cp:lastModifiedBy>Scott</cp:lastModifiedBy>
  <dcterms:created xsi:type="dcterms:W3CDTF">2011-10-09T05:33:03Z</dcterms:created>
  <dcterms:modified xsi:type="dcterms:W3CDTF">2013-07-11T23:05:53Z</dcterms:modified>
</cp:coreProperties>
</file>